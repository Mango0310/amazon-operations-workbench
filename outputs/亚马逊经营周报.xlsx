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87f2a3c1f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周报" sheetId="1" r:id="Rb443f53952584e56"/>
    <x:sheet xmlns:r="http://schemas.openxmlformats.org/officeDocument/2006/relationships" name="SKU利润" sheetId="2" r:id="R9087f3bb5a62488c"/>
    <x:sheet xmlns:r="http://schemas.openxmlformats.org/officeDocument/2006/relationships" name="搜索词诊断" sheetId="3" r:id="R6227eab7cca6428b"/>
    <x:sheet xmlns:r="http://schemas.openxmlformats.org/officeDocument/2006/relationships" name="行动复盘" sheetId="4" r:id="R4df4339b062548ee"/>
    <x:sheet xmlns:r="http://schemas.openxmlformats.org/officeDocument/2006/relationships" name="数据说明" sheetId="5" r:id="R7013a85b8bbb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"/>
    <x:numFmt numFmtId="201" formatCode="0.0%"/>
    <x:numFmt numFmtId="202" formatCode="&quot;$&quot;#,##0.00"/>
    <x:numFmt numFmtId="203" formatCode="0.00%"/>
    <x:numFmt numFmtId="204" formatCode="&quot;$&quot;0.0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64748B"/>
      <x:name val="Carlito"/>
    </x:font>
    <x:font>
      <x:b/>
      <x:sz val="11"/>
      <x:color rgb="FF17324D"/>
      <x:name val="Carlito"/>
    </x:font>
    <x:font>
      <x:b/>
      <x:sz val="16"/>
      <x:color rgb="FF17324D"/>
      <x:name val="Carlito"/>
    </x:font>
    <x:font>
      <x:sz val="11"/>
      <x:color rgb="FF6B4E00"/>
      <x:name val="Carlito"/>
    </x:font>
    <x:font>
      <x:b/>
      <x:sz val="18"/>
      <x:color rgb="FFFFFFFF"/>
      <x:name val="Microsoft YaHei"/>
    </x:font>
    <x:font>
      <x:sz val="11"/>
      <x:color rgb="FF64748B"/>
      <x:name val="Microsoft YaHei"/>
    </x:font>
    <x:font>
      <x:sz val="11"/>
      <x:name val="Microsoft YaHei"/>
    </x:font>
    <x:font>
      <x:b/>
      <x:sz val="11"/>
      <x:color rgb="FF17324D"/>
      <x:name val="Microsoft YaHei"/>
    </x:font>
    <x:font>
      <x:b/>
      <x:sz val="16"/>
      <x:color rgb="FF17324D"/>
      <x:name val="Microsoft YaHei"/>
    </x:font>
    <x:font>
      <x:b/>
      <x:sz val="11"/>
      <x:color rgb="FFFFFFFF"/>
      <x:name val="Microsoft YaHei"/>
    </x:font>
    <x:font>
      <x:sz val="11"/>
      <x:color rgb="FF6B4E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A"/>
      </x:patternFill>
    </x:fill>
    <x:fill>
      <x:patternFill patternType="solid">
        <x:fgColor rgb="FFEAF1FF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/>
    <x:xf numFmtId="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DDF4E7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7A4B00"/>
      </x:font>
      <x:fill>
        <x:patternFill patternType="solid">
          <x:bgColor rgb="FFFFF1CC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41a0848554893" /><Relationship Type="http://schemas.openxmlformats.org/officeDocument/2006/relationships/theme" Target="/xl/theme/theme1.xml" Id="R73f63348766a40c1" /><Relationship Type="http://schemas.openxmlformats.org/officeDocument/2006/relationships/sharedStrings" Target="/xl/sharedStrings.xml" Id="R51d4a7eeea914e12" /><Relationship Type="http://schemas.openxmlformats.org/officeDocument/2006/relationships/worksheet" Target="/xl/worksheets/sheet1.xml" Id="Rb443f53952584e56" /><Relationship Type="http://schemas.openxmlformats.org/officeDocument/2006/relationships/worksheet" Target="/xl/worksheets/sheet2.xml" Id="R9087f3bb5a62488c" /><Relationship Type="http://schemas.openxmlformats.org/officeDocument/2006/relationships/worksheet" Target="/xl/worksheets/sheet3.xml" Id="R6227eab7cca6428b" /><Relationship Type="http://schemas.openxmlformats.org/officeDocument/2006/relationships/worksheet" Target="/xl/worksheets/sheet4.xml" Id="R4df4339b062548ee" /><Relationship Type="http://schemas.openxmlformats.org/officeDocument/2006/relationships/worksheet" Target="/xl/worksheets/sheet5.xml" Id="R7013a85b8bbb4c9a" /><Relationship Type="http://schemas.microsoft.com/office/2017/10/relationships/person" Target="/xl/persons/person.xml" Id="R863e7d07af4547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e3dcc4167e4f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SKU 销售贡献（$）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销售额</c:v>
          </c:tx>
          <c:cat>
            <c:strRef>
              <c:f>'经营周报'!$A$9:$A$18</c:f>
              <c:strCache>
                <c:ptCount val="0"/>
              </c:strCache>
            </c:strRef>
          </c:cat>
          <c:val>
            <c:numRef>
              <c:f>'经营周报'!$B$9:$B$18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e3dcc4167e4f8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C26EF24-18AC-4083-91B7-C2FB8F690C4D}"/>
</xltc:personList>
</file>

<file path=xl/tables/table1.xml><?xml version="1.0" encoding="utf-8"?>
<x:table xmlns:x="http://schemas.openxmlformats.org/spreadsheetml/2006/main" id="1" name="SkuProfitTable" displayName="SkuProfitTable" ref="A1:I21" headerRowCount="1" totalsRowCount="0" totalsRowShown="0">
  <x:tableColumns count="9">
    <x:tableColumn id="1" name="SKU"/>
    <x:tableColumn id="2" name="销售额"/>
    <x:tableColumn id="3" name="产品成本"/>
    <x:tableColumn id="4" name="广告花费"/>
    <x:tableColumn id="5" name="平台及物流费"/>
    <x:tableColumn id="6" name="退款金额"/>
    <x:tableColumn id="7" name="经营利润"/>
    <x:tableColumn id="8" name="经营利润率"/>
    <x:tableColumn id="9" name="利润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rchTermTable" displayName="SearchTermTable" ref="A1:O81" headerRowCount="1" totalsRowCount="0" totalsRowShown="0">
  <x:tableColumns count="15">
    <x:tableColumn id="1" name="SKU"/>
    <x:tableColumn id="2" name="广告活动"/>
    <x:tableColumn id="3" name="匹配方式"/>
    <x:tableColumn id="4" name="关键词"/>
    <x:tableColumn id="5" name="搜索词"/>
    <x:tableColumn id="6" name="曝光"/>
    <x:tableColumn id="7" name="点击"/>
    <x:tableColumn id="8" name="广告花费"/>
    <x:tableColumn id="9" name="广告订单"/>
    <x:tableColumn id="10" name="广告销售额"/>
    <x:tableColumn id="11" name="CTR"/>
    <x:tableColumn id="12" name="CVR"/>
    <x:tableColumn id="13" name="CPC"/>
    <x:tableColumn id="14" name="ACOS"/>
    <x:tableColumn id="15" name="建议动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ReviewTable" displayName="ActionReviewTable" ref="A1:L13" headerRowCount="1" totalsRowCount="0" totalsRowShown="0">
  <x:tableColumns count="12">
    <x:tableColumn id="1" name="优先级"/>
    <x:tableColumn id="2" name="SKU"/>
    <x:tableColumn id="3" name="问题"/>
    <x:tableColumn id="4" name="建议动作"/>
    <x:tableColumn id="5" name="负责人"/>
    <x:tableColumn id="6" name="截止时间"/>
    <x:tableColumn id="7" name="执行前指标"/>
    <x:tableColumn id="8" name="执行后指标"/>
    <x:tableColumn id="9" name="结果判断"/>
    <x:tableColumn id="10" name="复盘结论"/>
    <x:tableColumn id="11" name="下一步动作"/>
    <x:tableColumn id="1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73ee09356a4f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030889f39541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93527c5bd2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29d5e576040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6" t="str">
        <x:v>亚马逊经营周报</x:v>
      </x:c>
      <x:c r="B1" s="26" t="str">
        <x:v>亚马逊经营周报</x:v>
      </x:c>
      <x:c r="C1" s="26" t="str">
        <x:v>亚马逊经营周报</x:v>
      </x:c>
      <x:c r="D1" s="26" t="str">
        <x:v>亚马逊经营周报</x:v>
      </x:c>
      <x:c r="E1" s="26" t="str">
        <x:v>亚马逊经营周报</x:v>
      </x:c>
      <x:c r="F1" s="26" t="str">
        <x:v>亚马逊经营周报</x:v>
      </x:c>
      <x:c r="G1" s="26" t="str">
        <x:v>亚马逊经营周报</x:v>
      </x:c>
      <x:c r="H1" s="26" t="str">
        <x:v>亚马逊经营周报</x:v>
      </x:c>
    </x:row>
    <x:row r="2">
      <x:c r="A2" s="26" t="str">
        <x:v>亚马逊经营周报</x:v>
      </x:c>
      <x:c r="B2" s="26" t="str">
        <x:v>亚马逊经营周报</x:v>
      </x:c>
      <x:c r="C2" s="26" t="str">
        <x:v>亚马逊经营周报</x:v>
      </x:c>
      <x:c r="D2" s="26" t="str">
        <x:v>亚马逊经营周报</x:v>
      </x:c>
      <x:c r="E2" s="26" t="str">
        <x:v>亚马逊经营周报</x:v>
      </x:c>
      <x:c r="F2" s="26" t="str">
        <x:v>亚马逊经营周报</x:v>
      </x:c>
      <x:c r="G2" s="26" t="str">
        <x:v>亚马逊经营周报</x:v>
      </x:c>
      <x:c r="H2" s="26" t="str">
        <x:v>亚马逊经营周报</x:v>
      </x:c>
    </x:row>
    <x:row r="3">
      <x:c r="A3" s="27" t="str">
        <x:v>数据周期：示例数据近 30 天｜广告与 SKU 诊断重点展示最近经营表现</x:v>
      </x:c>
      <x:c r="B3" s="27" t="str">
        <x:v>数据周期：示例数据近 30 天｜广告与 SKU 诊断重点展示最近经营表现</x:v>
      </x:c>
      <x:c r="C3" s="27" t="str">
        <x:v>数据周期：示例数据近 30 天｜广告与 SKU 诊断重点展示最近经营表现</x:v>
      </x:c>
      <x:c r="D3" s="27" t="str">
        <x:v>数据周期：示例数据近 30 天｜广告与 SKU 诊断重点展示最近经营表现</x:v>
      </x:c>
      <x:c r="E3" s="27" t="str">
        <x:v>数据周期：示例数据近 30 天｜广告与 SKU 诊断重点展示最近经营表现</x:v>
      </x:c>
      <x:c r="F3" s="27" t="str">
        <x:v>数据周期：示例数据近 30 天｜广告与 SKU 诊断重点展示最近经营表现</x:v>
      </x:c>
      <x:c r="G3" s="27" t="str">
        <x:v>数据周期：示例数据近 30 天｜广告与 SKU 诊断重点展示最近经营表现</x:v>
      </x:c>
      <x:c r="H3" s="27" t="str">
        <x:v>数据周期：示例数据近 30 天｜广告与 SKU 诊断重点展示最近经营表现</x:v>
      </x:c>
    </x:row>
    <x:row r="4">
      <x:c r="A4" s="28"/>
      <x:c r="B4" s="28"/>
      <x:c r="C4" s="28"/>
      <x:c r="D4" s="28"/>
      <x:c r="E4" s="28"/>
      <x:c r="F4" s="28"/>
      <x:c r="G4" s="28"/>
      <x:c r="H4" s="28"/>
    </x:row>
    <x:row r="5">
      <x:c r="A5" s="29" t="str">
        <x:v>销售额</x:v>
      </x:c>
      <x:c r="B5" s="29" t="str">
        <x:v>经营利润</x:v>
      </x:c>
      <x:c r="C5" s="28"/>
      <x:c r="D5" s="29" t="str">
        <x:v>经营利润率</x:v>
      </x:c>
      <x:c r="E5" s="29" t="str">
        <x:v>广告花费</x:v>
      </x:c>
      <x:c r="F5" s="28"/>
      <x:c r="G5" s="29" t="str">
        <x:v>P0 动作</x:v>
      </x:c>
      <x:c r="H5" s="29" t="str">
        <x:v>待关闭动作</x:v>
      </x:c>
    </x:row>
    <x:row r="6" ht="34" customHeight="1">
      <x:c r="A6" s="30" t="n">
        <x:f>SUM('SKU利润'!B2:B21)</x:f>
        <x:v>418035.8300000001</x:v>
      </x:c>
      <x:c r="B6" s="30" t="n">
        <x:f>SUM('SKU利润'!G2:G21)</x:f>
        <x:v>107540.67590000003</x:v>
      </x:c>
      <x:c r="C6" s="31"/>
      <x:c r="D6" s="32" t="n">
        <x:f>IFERROR(B6/A6,0)</x:f>
        <x:v>0.2572522931826203</x:v>
      </x:c>
      <x:c r="E6" s="30" t="n">
        <x:f>SUM('SKU利润'!D2:D21)</x:f>
        <x:v>57232.15</x:v>
      </x:c>
      <x:c r="F6" s="31"/>
      <x:c r="G6" s="31" t="n">
        <x:f>COUNTIF('行动复盘'!A2:A13,"P0")</x:f>
        <x:v>9</x:v>
      </x:c>
      <x:c r="H6" s="31" t="n">
        <x:f>COUNTIF('行动复盘'!L2:L13,"&lt;&gt;已关闭")</x:f>
        <x:v>12</x:v>
      </x:c>
    </x:row>
    <x:row r="7">
      <x:c r="A7" s="28"/>
      <x:c r="B7" s="28"/>
      <x:c r="C7" s="28"/>
      <x:c r="D7" s="28"/>
      <x:c r="E7" s="28"/>
      <x:c r="F7" s="28"/>
      <x:c r="G7" s="28"/>
      <x:c r="H7" s="28"/>
    </x:row>
    <x:row r="8">
      <x:c r="A8" s="33" t="str">
        <x:v>SKU</x:v>
      </x:c>
      <x:c r="B8" s="33" t="str">
        <x:v>销售额</x:v>
      </x:c>
      <x:c r="C8" s="28"/>
      <x:c r="D8" s="28"/>
      <x:c r="E8" s="28"/>
      <x:c r="F8" s="28"/>
      <x:c r="G8" s="28"/>
      <x:c r="H8" s="28"/>
    </x:row>
    <x:row r="9">
      <x:c r="A9" s="28" t="str">
        <x:f>'SKU利润'!A2</x:f>
        <x:v>A001</x:v>
      </x:c>
      <x:c r="B9" s="34" t="n">
        <x:f>'SKU利润'!B2</x:f>
        <x:v>58705.32</x:v>
      </x:c>
      <x:c r="C9" s="28"/>
      <x:c r="D9" s="28"/>
      <x:c r="E9" s="28"/>
      <x:c r="F9" s="28"/>
      <x:c r="G9" s="28"/>
      <x:c r="H9" s="28"/>
    </x:row>
    <x:row r="10">
      <x:c r="A10" s="28" t="str">
        <x:f>'SKU利润'!A3</x:f>
        <x:v>A002</x:v>
      </x:c>
      <x:c r="B10" s="34" t="n">
        <x:f>'SKU利润'!B3</x:f>
        <x:v>49485</x:v>
      </x:c>
      <x:c r="C10" s="28"/>
      <x:c r="D10" s="28"/>
      <x:c r="E10" s="28"/>
      <x:c r="F10" s="28"/>
      <x:c r="G10" s="28"/>
      <x:c r="H10" s="28"/>
    </x:row>
    <x:row r="11">
      <x:c r="A11" s="28" t="str">
        <x:f>'SKU利润'!A4</x:f>
        <x:v>A003</x:v>
      </x:c>
      <x:c r="B11" s="34" t="n">
        <x:f>'SKU利润'!B4</x:f>
        <x:v>37410.030000000006</x:v>
      </x:c>
      <x:c r="C11" s="28"/>
      <x:c r="D11" s="28"/>
      <x:c r="E11" s="28"/>
      <x:c r="F11" s="28"/>
      <x:c r="G11" s="28"/>
      <x:c r="H11" s="28"/>
    </x:row>
    <x:row r="12">
      <x:c r="A12" s="28" t="str">
        <x:f>'SKU利润'!A5</x:f>
        <x:v>A008</x:v>
      </x:c>
      <x:c r="B12" s="34" t="n">
        <x:f>'SKU利润'!B5</x:f>
        <x:v>26091.300000000003</x:v>
      </x:c>
      <x:c r="C12" s="28"/>
      <x:c r="D12" s="28"/>
      <x:c r="E12" s="28"/>
      <x:c r="F12" s="28"/>
      <x:c r="G12" s="28"/>
      <x:c r="H12" s="28"/>
    </x:row>
    <x:row r="13">
      <x:c r="A13" s="28" t="str">
        <x:f>'SKU利润'!A6</x:f>
        <x:v>A020</x:v>
      </x:c>
      <x:c r="B13" s="34" t="n">
        <x:f>'SKU利润'!B6</x:f>
        <x:v>25934.37</x:v>
      </x:c>
      <x:c r="C13" s="28"/>
      <x:c r="D13" s="28"/>
      <x:c r="E13" s="28"/>
      <x:c r="F13" s="28"/>
      <x:c r="G13" s="28"/>
      <x:c r="H13" s="28"/>
    </x:row>
    <x:row r="14">
      <x:c r="A14" s="28" t="str">
        <x:f>'SKU利润'!A7</x:f>
        <x:v>A019</x:v>
      </x:c>
      <x:c r="B14" s="34" t="n">
        <x:f>'SKU利润'!B7</x:f>
        <x:v>22945.409999999996</x:v>
      </x:c>
      <x:c r="C14" s="28"/>
      <x:c r="D14" s="28"/>
      <x:c r="E14" s="28"/>
      <x:c r="F14" s="28"/>
      <x:c r="G14" s="28"/>
      <x:c r="H14" s="28"/>
    </x:row>
    <x:row r="15">
      <x:c r="A15" s="28" t="str">
        <x:f>'SKU利润'!A8</x:f>
        <x:v>A018</x:v>
      </x:c>
      <x:c r="B15" s="34" t="n">
        <x:f>'SKU利润'!B8</x:f>
        <x:v>21795.93</x:v>
      </x:c>
      <x:c r="C15" s="28"/>
      <x:c r="D15" s="28"/>
      <x:c r="E15" s="28"/>
      <x:c r="F15" s="28"/>
      <x:c r="G15" s="28"/>
      <x:c r="H15" s="28"/>
    </x:row>
    <x:row r="16">
      <x:c r="A16" s="28" t="str">
        <x:f>'SKU利润'!A9</x:f>
        <x:v>A011</x:v>
      </x:c>
      <x:c r="B16" s="34" t="n">
        <x:f>'SKU利润'!B9</x:f>
        <x:v>20096.649999999998</x:v>
      </x:c>
      <x:c r="C16" s="28"/>
      <x:c r="D16" s="28"/>
      <x:c r="E16" s="28"/>
      <x:c r="F16" s="28"/>
      <x:c r="G16" s="28"/>
      <x:c r="H16" s="28"/>
    </x:row>
    <x:row r="17">
      <x:c r="A17" s="28" t="str">
        <x:f>'SKU利润'!A10</x:f>
        <x:v>A015</x:v>
      </x:c>
      <x:c r="B17" s="34" t="n">
        <x:f>'SKU利润'!B10</x:f>
        <x:v>18790.77</x:v>
      </x:c>
      <x:c r="C17" s="28"/>
      <x:c r="D17" s="28"/>
      <x:c r="E17" s="28"/>
      <x:c r="F17" s="28"/>
      <x:c r="G17" s="28"/>
      <x:c r="H17" s="28"/>
    </x:row>
    <x:row r="18">
      <x:c r="A18" s="28" t="str">
        <x:f>'SKU利润'!A11</x:f>
        <x:v>A016</x:v>
      </x:c>
      <x:c r="B18" s="34" t="n">
        <x:f>'SKU利润'!B11</x:f>
        <x:v>17162.079999999998</x:v>
      </x:c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  <x:row r="21">
      <x:c r="A21" s="33" t="str">
        <x:v>行动状态</x:v>
      </x:c>
      <x:c r="B21" s="33" t="str">
        <x:v>数量</x:v>
      </x:c>
      <x:c r="C21" s="28"/>
      <x:c r="D21" s="28"/>
      <x:c r="E21" s="28"/>
      <x:c r="F21" s="28"/>
      <x:c r="G21" s="28"/>
      <x:c r="H21" s="28"/>
    </x:row>
    <x:row r="22">
      <x:c r="A22" s="28" t="str">
        <x:v>待处理</x:v>
      </x:c>
      <x:c r="B22" s="28" t="n">
        <x:f>COUNTIF('行动复盘'!L2:L13,A22)</x:f>
        <x:v>12</x:v>
      </x:c>
      <x:c r="C22" s="28"/>
      <x:c r="D22" s="28"/>
      <x:c r="E22" s="28"/>
      <x:c r="F22" s="28"/>
      <x:c r="G22" s="28"/>
      <x:c r="H22" s="28"/>
    </x:row>
    <x:row r="23">
      <x:c r="A23" s="28" t="str">
        <x:v>进行中</x:v>
      </x:c>
      <x:c r="B23" s="28" t="n">
        <x:f>COUNTIF('行动复盘'!L2:L13,A23)</x:f>
        <x:v>0</x:v>
      </x:c>
      <x:c r="C23" s="28"/>
      <x:c r="D23" s="28"/>
      <x:c r="E23" s="28"/>
      <x:c r="F23" s="28"/>
      <x:c r="G23" s="28"/>
      <x:c r="H23" s="28"/>
    </x:row>
    <x:row r="24">
      <x:c r="A24" s="28" t="str">
        <x:v>待验证</x:v>
      </x:c>
      <x:c r="B24" s="28" t="n">
        <x:f>COUNTIF('行动复盘'!L2:L13,A24)</x:f>
        <x:v>0</x:v>
      </x:c>
      <x:c r="C24" s="28"/>
      <x:c r="D24" s="28"/>
      <x:c r="E24" s="28"/>
      <x:c r="F24" s="28"/>
      <x:c r="G24" s="28"/>
      <x:c r="H24" s="28"/>
    </x:row>
    <x:row r="25">
      <x:c r="A25" s="28" t="str">
        <x:v>已关闭</x:v>
      </x:c>
      <x:c r="B25" s="28" t="n">
        <x:f>COUNTIF('行动复盘'!L2:L13,A25)</x:f>
        <x:v>0</x:v>
      </x:c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35" t="str">
        <x:v>使用说明：先看 KPI 与 P0 动作，再到搜索词诊断和行动复盘填写执行后指标。所有结论均基于模拟数据。</x:v>
      </x:c>
      <x:c r="B27" s="35" t="str">
        <x:v>使用说明：先看 KPI 与 P0 动作，再到搜索词诊断和行动复盘填写执行后指标。所有结论均基于模拟数据。</x:v>
      </x:c>
      <x:c r="C27" s="35" t="str">
        <x:v>使用说明：先看 KPI 与 P0 动作，再到搜索词诊断和行动复盘填写执行后指标。所有结论均基于模拟数据。</x:v>
      </x:c>
      <x:c r="D27" s="35" t="str">
        <x:v>使用说明：先看 KPI 与 P0 动作，再到搜索词诊断和行动复盘填写执行后指标。所有结论均基于模拟数据。</x:v>
      </x:c>
      <x:c r="E27" s="35" t="str">
        <x:v>使用说明：先看 KPI 与 P0 动作，再到搜索词诊断和行动复盘填写执行后指标。所有结论均基于模拟数据。</x:v>
      </x:c>
      <x:c r="F27" s="35" t="str">
        <x:v>使用说明：先看 KPI 与 P0 动作，再到搜索词诊断和行动复盘填写执行后指标。所有结论均基于模拟数据。</x:v>
      </x:c>
      <x:c r="G27" s="35" t="str">
        <x:v>使用说明：先看 KPI 与 P0 动作，再到搜索词诊断和行动复盘填写执行后指标。所有结论均基于模拟数据。</x:v>
      </x:c>
      <x:c r="H27" s="35" t="str">
        <x:v>使用说明：先看 KPI 与 P0 动作，再到搜索词诊断和行动复盘填写执行后指标。所有结论均基于模拟数据。</x:v>
      </x:c>
    </x:row>
    <x:row r="28">
      <x:c r="A28" s="35" t="str">
        <x:v>使用说明：先看 KPI 与 P0 动作，再到搜索词诊断和行动复盘填写执行后指标。所有结论均基于模拟数据。</x:v>
      </x:c>
      <x:c r="B28" s="35" t="str">
        <x:v>使用说明：先看 KPI 与 P0 动作，再到搜索词诊断和行动复盘填写执行后指标。所有结论均基于模拟数据。</x:v>
      </x:c>
      <x:c r="C28" s="35" t="str">
        <x:v>使用说明：先看 KPI 与 P0 动作，再到搜索词诊断和行动复盘填写执行后指标。所有结论均基于模拟数据。</x:v>
      </x:c>
      <x:c r="D28" s="35" t="str">
        <x:v>使用说明：先看 KPI 与 P0 动作，再到搜索词诊断和行动复盘填写执行后指标。所有结论均基于模拟数据。</x:v>
      </x:c>
      <x:c r="E28" s="35" t="str">
        <x:v>使用说明：先看 KPI 与 P0 动作，再到搜索词诊断和行动复盘填写执行后指标。所有结论均基于模拟数据。</x:v>
      </x:c>
      <x:c r="F28" s="35" t="str">
        <x:v>使用说明：先看 KPI 与 P0 动作，再到搜索词诊断和行动复盘填写执行后指标。所有结论均基于模拟数据。</x:v>
      </x:c>
      <x:c r="G28" s="35" t="str">
        <x:v>使用说明：先看 KPI 与 P0 动作，再到搜索词诊断和行动复盘填写执行后指标。所有结论均基于模拟数据。</x:v>
      </x:c>
      <x:c r="H28" s="35" t="str">
        <x:v>使用说明：先看 KPI 与 P0 动作，再到搜索词诊断和行动复盘填写执行后指标。所有结论均基于模拟数据。</x:v>
      </x:c>
    </x:row>
  </x:sheetData>
  <x:mergeCells>
    <x:mergeCell ref="A1:H2"/>
    <x:mergeCell ref="A3:H3"/>
    <x:mergeCell ref="A27:H28"/>
  </x:mergeCells>
  <x:pageMargins left="0.7" right="0.7" top="0.75" bottom="0.75" header="0.3" footer="0.3"/>
  <x:drawing xmlns:r="http://schemas.openxmlformats.org/officeDocument/2006/relationships" r:id="Rd373ee09356a4f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.5" hidden="0" customWidth="1"/>
    <x:col min="3" max="3" width="10.380000114440918" hidden="0" customWidth="1"/>
    <x:col min="4" max="4" width="10.380000114440918" hidden="0" customWidth="1"/>
    <x:col min="5" max="5" width="14" hidden="0" customWidth="1"/>
    <x:col min="6" max="6" width="10.380000114440918" hidden="0" customWidth="1"/>
    <x:col min="7" max="7" width="10.380000114440918" hidden="0" customWidth="1"/>
    <x:col min="8" max="8" width="12.25" hidden="0" customWidth="1"/>
    <x:col min="9" max="9" width="14" hidden="0" customWidth="1"/>
  </x:cols>
  <x:sheetData>
    <x:row r="1">
      <x:c r="A1" s="5" t="str">
        <x:v>SKU</x:v>
      </x:c>
      <x:c r="B1" s="5" t="str">
        <x:v>销售额</x:v>
      </x:c>
      <x:c r="C1" s="5" t="str">
        <x:v>产品成本</x:v>
      </x:c>
      <x:c r="D1" s="5" t="str">
        <x:v>广告花费</x:v>
      </x:c>
      <x:c r="E1" s="5" t="str">
        <x:v>平台及物流费</x:v>
      </x:c>
      <x:c r="F1" s="5" t="str">
        <x:v>退款金额</x:v>
      </x:c>
      <x:c r="G1" s="5" t="str">
        <x:v>经营利润</x:v>
      </x:c>
      <x:c r="H1" s="5" t="str">
        <x:v>经营利润率</x:v>
      </x:c>
      <x:c r="I1" s="5" t="str">
        <x:v>利润状态</x:v>
      </x:c>
    </x:row>
    <x:row r="2">
      <x:c r="A2" t="str">
        <x:v>A001</x:v>
      </x:c>
      <x:c r="B2" s="6" t="n">
        <x:v>58705.32</x:v>
      </x:c>
      <x:c r="C2" s="6" t="n">
        <x:v>17616</x:v>
      </x:c>
      <x:c r="D2" s="6" t="n">
        <x:v>7178.9800000000005</x:v>
      </x:c>
      <x:c r="E2" s="6" t="n">
        <x:v>15850.436399999999</x:v>
      </x:c>
      <x:c r="F2" s="6" t="n">
        <x:v>1799.59</x:v>
      </x:c>
      <x:c r="G2" s="6" t="n">
        <x:v>16260.313600000005</x:v>
      </x:c>
      <x:c r="H2" s="7" t="n">
        <x:f>IFERROR(G2/B2,0)</x:f>
        <x:v>0.27698194303344237</x:v>
      </x:c>
      <x:c r="I2" t="str">
        <x:f>IF(H2&lt;10%,"高风险",IF(H2&lt;20%,"关注","健康"))</x:f>
        <x:v>健康</x:v>
      </x:c>
    </x:row>
    <x:row r="3">
      <x:c r="A3" t="str">
        <x:v>A002</x:v>
      </x:c>
      <x:c r="B3" s="6" t="n">
        <x:v>49485</x:v>
      </x:c>
      <x:c r="C3" s="6" t="n">
        <x:v>13500</x:v>
      </x:c>
      <x:c r="D3" s="6" t="n">
        <x:v>5946.129999999999</x:v>
      </x:c>
      <x:c r="E3" s="6" t="n">
        <x:v>13360.95</x:v>
      </x:c>
      <x:c r="F3" s="6" t="n">
        <x:v>1438.2799999999997</x:v>
      </x:c>
      <x:c r="G3" s="6" t="n">
        <x:v>15239.640000000003</x:v>
      </x:c>
      <x:c r="H3" s="7" t="n">
        <x:f>IFERROR(G3/B3,0)</x:f>
        <x:v>0.3079648378296454</x:v>
      </x:c>
      <x:c r="I3" t="str">
        <x:f>IF(H3&lt;10%,"高风险",IF(H3&lt;20%,"关注","健康"))</x:f>
        <x:v>健康</x:v>
      </x:c>
    </x:row>
    <x:row r="4">
      <x:c r="A4" t="str">
        <x:v>A003</x:v>
      </x:c>
      <x:c r="B4" s="6" t="n">
        <x:v>37410.030000000006</x:v>
      </x:c>
      <x:c r="C4" s="6" t="n">
        <x:v>10479</x:v>
      </x:c>
      <x:c r="D4" s="6" t="n">
        <x:v>4375.23</x:v>
      </x:c>
      <x:c r="E4" s="6" t="n">
        <x:v>10100.708100000002</x:v>
      </x:c>
      <x:c r="F4" s="6" t="n">
        <x:v>1041.08</x:v>
      </x:c>
      <x:c r="G4" s="6" t="n">
        <x:v>11414.011900000003</x:v>
      </x:c>
      <x:c r="H4" s="7" t="n">
        <x:f>IFERROR(G4/B4,0)</x:f>
        <x:v>0.3051056601665383</x:v>
      </x:c>
      <x:c r="I4" t="str">
        <x:f>IF(H4&lt;10%,"高风险",IF(H4&lt;20%,"关注","健康"))</x:f>
        <x:v>健康</x:v>
      </x:c>
    </x:row>
    <x:row r="5">
      <x:c r="A5" t="str">
        <x:v>A008</x:v>
      </x:c>
      <x:c r="B5" s="6" t="n">
        <x:v>26091.300000000003</x:v>
      </x:c>
      <x:c r="C5" s="6" t="n">
        <x:v>8700</x:v>
      </x:c>
      <x:c r="D5" s="6" t="n">
        <x:v>3192.14</x:v>
      </x:c>
      <x:c r="E5" s="6" t="n">
        <x:v>7044.651</x:v>
      </x:c>
      <x:c r="F5" s="6" t="n">
        <x:v>868.01</x:v>
      </x:c>
      <x:c r="G5" s="6" t="n">
        <x:v>6286.499000000005</x:v>
      </x:c>
      <x:c r="H5" s="7" t="n">
        <x:f>IFERROR(G5/B5,0)</x:f>
        <x:v>0.24094234476626325</x:v>
      </x:c>
      <x:c r="I5" t="str">
        <x:f>IF(H5&lt;10%,"高风险",IF(H5&lt;20%,"关注","健康"))</x:f>
        <x:v>健康</x:v>
      </x:c>
    </x:row>
    <x:row r="6">
      <x:c r="A6" t="str">
        <x:v>A020</x:v>
      </x:c>
      <x:c r="B6" s="6" t="n">
        <x:v>25934.37</x:v>
      </x:c>
      <x:c r="C6" s="6" t="n">
        <x:v>8393</x:v>
      </x:c>
      <x:c r="D6" s="6" t="n">
        <x:v>3653.2800000000007</x:v>
      </x:c>
      <x:c r="E6" s="6" t="n">
        <x:v>7002.2798999999995</x:v>
      </x:c>
      <x:c r="F6" s="6" t="n">
        <x:v>839.6400000000001</x:v>
      </x:c>
      <x:c r="G6" s="6" t="n">
        <x:v>6046.1701</x:v>
      </x:c>
      <x:c r="H6" s="7" t="n">
        <x:f>IFERROR(G6/B6,0)</x:f>
        <x:v>0.23313348656628252</x:v>
      </x:c>
      <x:c r="I6" t="str">
        <x:f>IF(H6&lt;10%,"高风险",IF(H6&lt;20%,"关注","健康"))</x:f>
        <x:v>健康</x:v>
      </x:c>
    </x:row>
    <x:row r="7">
      <x:c r="A7" t="str">
        <x:v>A019</x:v>
      </x:c>
      <x:c r="B7" s="6" t="n">
        <x:v>22945.409999999996</x:v>
      </x:c>
      <x:c r="C7" s="6" t="n">
        <x:v>5967</x:v>
      </x:c>
      <x:c r="D7" s="6" t="n">
        <x:v>2681.4300000000003</x:v>
      </x:c>
      <x:c r="E7" s="6" t="n">
        <x:v>6195.260699999999</x:v>
      </x:c>
      <x:c r="F7" s="6" t="n">
        <x:v>662.1800000000001</x:v>
      </x:c>
      <x:c r="G7" s="6" t="n">
        <x:v>7439.539299999997</x:v>
      </x:c>
      <x:c r="H7" s="7" t="n">
        <x:f>IFERROR(G7/B7,0)</x:f>
        <x:v>0.32422777801747704</x:v>
      </x:c>
      <x:c r="I7" t="str">
        <x:f>IF(H7&lt;10%,"高风险",IF(H7&lt;20%,"关注","健康"))</x:f>
        <x:v>健康</x:v>
      </x:c>
    </x:row>
    <x:row r="8">
      <x:c r="A8" t="str">
        <x:v>A018</x:v>
      </x:c>
      <x:c r="B8" s="6" t="n">
        <x:v>21795.93</x:v>
      </x:c>
      <x:c r="C8" s="6" t="n">
        <x:v>7098</x:v>
      </x:c>
      <x:c r="D8" s="6" t="n">
        <x:v>3678.840000000001</x:v>
      </x:c>
      <x:c r="E8" s="6" t="n">
        <x:v>5884.901099999999</x:v>
      </x:c>
      <x:c r="F8" s="6" t="n">
        <x:v>1348.5500000000002</x:v>
      </x:c>
      <x:c r="G8" s="6" t="n">
        <x:v>3785.6389000000017</x:v>
      </x:c>
      <x:c r="H8" s="7" t="n">
        <x:f>IFERROR(G8/B8,0)</x:f>
        <x:v>0.17368558717155</x:v>
      </x:c>
      <x:c r="I8" t="str">
        <x:f>IF(H8&lt;10%,"高风险",IF(H8&lt;20%,"关注","健康"))</x:f>
        <x:v>关注</x:v>
      </x:c>
    </x:row>
    <x:row r="9">
      <x:c r="A9" t="str">
        <x:v>A011</x:v>
      </x:c>
      <x:c r="B9" s="6" t="n">
        <x:v>20096.649999999998</x:v>
      </x:c>
      <x:c r="C9" s="6" t="n">
        <x:v>7370</x:v>
      </x:c>
      <x:c r="D9" s="6" t="n">
        <x:v>4115.329999999999</x:v>
      </x:c>
      <x:c r="E9" s="6" t="n">
        <x:v>5426.095499999999</x:v>
      </x:c>
      <x:c r="F9" s="6" t="n">
        <x:v>595.7099999999998</x:v>
      </x:c>
      <x:c r="G9" s="6" t="n">
        <x:v>2589.5145000000007</x:v>
      </x:c>
      <x:c r="H9" s="7" t="n">
        <x:f>IFERROR(G9/B9,0)</x:f>
        <x:v>0.12885304267129102</x:v>
      </x:c>
      <x:c r="I9" t="str">
        <x:f>IF(H9&lt;10%,"高风险",IF(H9&lt;20%,"关注","健康"))</x:f>
        <x:v>关注</x:v>
      </x:c>
    </x:row>
    <x:row r="10">
      <x:c r="A10" t="str">
        <x:v>A015</x:v>
      </x:c>
      <x:c r="B10" s="6" t="n">
        <x:v>18790.77</x:v>
      </x:c>
      <x:c r="C10" s="6" t="n">
        <x:v>5784</x:v>
      </x:c>
      <x:c r="D10" s="6" t="n">
        <x:v>2861.2999999999997</x:v>
      </x:c>
      <x:c r="E10" s="6" t="n">
        <x:v>5073.5079000000005</x:v>
      </x:c>
      <x:c r="F10" s="6" t="n">
        <x:v>549.01</x:v>
      </x:c>
      <x:c r="G10" s="6" t="n">
        <x:v>4522.952100000002</x:v>
      </x:c>
      <x:c r="H10" s="7" t="n">
        <x:f>IFERROR(G10/B10,0)</x:f>
        <x:v>0.24070073232762693</x:v>
      </x:c>
      <x:c r="I10" t="str">
        <x:f>IF(H10&lt;10%,"高风险",IF(H10&lt;20%,"关注","健康"))</x:f>
        <x:v>健康</x:v>
      </x:c>
    </x:row>
    <x:row r="11">
      <x:c r="A11" t="str">
        <x:v>A016</x:v>
      </x:c>
      <x:c r="B11" s="6" t="n">
        <x:v>17162.079999999998</x:v>
      </x:c>
      <x:c r="C11" s="6" t="n">
        <x:v>5328</x:v>
      </x:c>
      <x:c r="D11" s="6" t="n">
        <x:v>2094.2499999999995</x:v>
      </x:c>
      <x:c r="E11" s="6" t="n">
        <x:v>4633.7616</x:v>
      </x:c>
      <x:c r="F11" s="6" t="n">
        <x:v>517.61</x:v>
      </x:c>
      <x:c r="G11" s="6" t="n">
        <x:v>4588.458399999998</x:v>
      </x:c>
      <x:c r="H11" s="7" t="n">
        <x:f>IFERROR(G11/B11,0)</x:f>
        <x:v>0.26736027334682033</x:v>
      </x:c>
      <x:c r="I11" t="str">
        <x:f>IF(H11&lt;10%,"高风险",IF(H11&lt;20%,"关注","健康"))</x:f>
        <x:v>健康</x:v>
      </x:c>
    </x:row>
    <x:row r="12">
      <x:c r="A12" t="str">
        <x:v>A017</x:v>
      </x:c>
      <x:c r="B12" s="6" t="n">
        <x:v>17147.969999999998</x:v>
      </x:c>
      <x:c r="C12" s="6" t="n">
        <x:v>4966.5</x:v>
      </x:c>
      <x:c r="D12" s="6" t="n">
        <x:v>2046.3600000000001</x:v>
      </x:c>
      <x:c r="E12" s="6" t="n">
        <x:v>4629.951899999999</x:v>
      </x:c>
      <x:c r="F12" s="6" t="n">
        <x:v>505.55</x:v>
      </x:c>
      <x:c r="G12" s="6" t="n">
        <x:v>4999.608099999998</x:v>
      </x:c>
      <x:c r="H12" s="7" t="n">
        <x:f>IFERROR(G12/B12,0)</x:f>
        <x:v>0.29155684900311807</x:v>
      </x:c>
      <x:c r="I12" t="str">
        <x:f>IF(H12&lt;10%,"高风险",IF(H12&lt;20%,"关注","健康"))</x:f>
        <x:v>健康</x:v>
      </x:c>
    </x:row>
    <x:row r="13">
      <x:c r="A13" t="str">
        <x:v>A012</x:v>
      </x:c>
      <x:c r="B13" s="6" t="n">
        <x:v>15452.640000000003</x:v>
      </x:c>
      <x:c r="C13" s="6" t="n">
        <x:v>5376</x:v>
      </x:c>
      <x:c r="D13" s="6" t="n">
        <x:v>3191.7299999999996</x:v>
      </x:c>
      <x:c r="E13" s="6" t="n">
        <x:v>4172.2128</x:v>
      </x:c>
      <x:c r="F13" s="6" t="n">
        <x:v>485.0400000000001</x:v>
      </x:c>
      <x:c r="G13" s="6" t="n">
        <x:v>2227.6572000000024</x:v>
      </x:c>
      <x:c r="H13" s="7" t="n">
        <x:f>IFERROR(G13/B13,0)</x:f>
        <x:v>0.14416029882272557</x:v>
      </x:c>
      <x:c r="I13" t="str">
        <x:f>IF(H13&lt;10%,"高风险",IF(H13&lt;20%,"关注","健康"))</x:f>
        <x:v>关注</x:v>
      </x:c>
    </x:row>
    <x:row r="14">
      <x:c r="A14" t="str">
        <x:v>A014</x:v>
      </x:c>
      <x:c r="B14" s="6" t="n">
        <x:v>13994.999999999996</x:v>
      </x:c>
      <x:c r="C14" s="6" t="n">
        <x:v>4500</x:v>
      </x:c>
      <x:c r="D14" s="6" t="n">
        <x:v>2424.6</x:v>
      </x:c>
      <x:c r="E14" s="6" t="n">
        <x:v>3778.6499999999987</x:v>
      </x:c>
      <x:c r="F14" s="6" t="n">
        <x:v>889.1000000000001</x:v>
      </x:c>
      <x:c r="G14" s="6" t="n">
        <x:v>2402.649999999997</x:v>
      </x:c>
      <x:c r="H14" s="7" t="n">
        <x:f>IFERROR(G14/B14,0)</x:f>
        <x:v>0.17167917113254716</x:v>
      </x:c>
      <x:c r="I14" t="str">
        <x:f>IF(H14&lt;10%,"高风险",IF(H14&lt;20%,"关注","健康"))</x:f>
        <x:v>关注</x:v>
      </x:c>
    </x:row>
    <x:row r="15">
      <x:c r="A15" t="str">
        <x:v>A006</x:v>
      </x:c>
      <x:c r="B15" s="6" t="n">
        <x:v>13679.05</x:v>
      </x:c>
      <x:c r="C15" s="6" t="n">
        <x:v>4165</x:v>
      </x:c>
      <x:c r="D15" s="6" t="n">
        <x:v>1682.9200000000005</x:v>
      </x:c>
      <x:c r="E15" s="6" t="n">
        <x:v>3693.3434999999995</x:v>
      </x:c>
      <x:c r="F15" s="6" t="n">
        <x:v>400.45</x:v>
      </x:c>
      <x:c r="G15" s="6" t="n">
        <x:v>3737.3364999999985</x:v>
      </x:c>
      <x:c r="H15" s="7" t="n">
        <x:f>IFERROR(G15/B15,0)</x:f>
        <x:v>0.2732160859123988</x:v>
      </x:c>
      <x:c r="I15" t="str">
        <x:f>IF(H15&lt;10%,"高风险",IF(H15&lt;20%,"关注","健康"))</x:f>
        <x:v>健康</x:v>
      </x:c>
    </x:row>
    <x:row r="16">
      <x:c r="A16" t="str">
        <x:v>A013</x:v>
      </x:c>
      <x:c r="B16" s="6" t="n">
        <x:v>12164.620000000003</x:v>
      </x:c>
      <x:c r="C16" s="6" t="n">
        <x:v>4056</x:v>
      </x:c>
      <x:c r="D16" s="6" t="n">
        <x:v>2476.13</x:v>
      </x:c>
      <x:c r="E16" s="6" t="n">
        <x:v>3284.447400000001</x:v>
      </x:c>
      <x:c r="F16" s="6" t="n">
        <x:v>406.10999999999996</x:v>
      </x:c>
      <x:c r="G16" s="6" t="n">
        <x:v>1941.9326000000015</x:v>
      </x:c>
      <x:c r="H16" s="7" t="n">
        <x:f>IFERROR(G16/B16,0)</x:f>
        <x:v>0.15963775276169753</x:v>
      </x:c>
      <x:c r="I16" t="str">
        <x:f>IF(H16&lt;10%,"高风险",IF(H16&lt;20%,"关注","健康"))</x:f>
        <x:v>关注</x:v>
      </x:c>
    </x:row>
    <x:row r="17">
      <x:c r="A17" t="str">
        <x:v>A004</x:v>
      </x:c>
      <x:c r="B17" s="6" t="n">
        <x:v>12073.960000000001</x:v>
      </x:c>
      <x:c r="C17" s="6" t="n">
        <x:v>3624</x:v>
      </x:c>
      <x:c r="D17" s="6" t="n">
        <x:v>1441.7500000000005</x:v>
      </x:c>
      <x:c r="E17" s="6" t="n">
        <x:v>3259.9692</x:v>
      </x:c>
      <x:c r="F17" s="6" t="n">
        <x:v>358.79999999999995</x:v>
      </x:c>
      <x:c r="G17" s="6" t="n">
        <x:v>3389.4408000000017</x:v>
      </x:c>
      <x:c r="H17" s="7" t="n">
        <x:f>IFERROR(G17/B17,0)</x:f>
        <x:v>0.2807232092867627</x:v>
      </x:c>
      <x:c r="I17" t="str">
        <x:f>IF(H17&lt;10%,"高风险",IF(H17&lt;20%,"关注","健康"))</x:f>
        <x:v>健康</x:v>
      </x:c>
    </x:row>
    <x:row r="18">
      <x:c r="A18" t="str">
        <x:v>A007</x:v>
      </x:c>
      <x:c r="B18" s="6" t="n">
        <x:v>10244.970000000001</x:v>
      </x:c>
      <x:c r="C18" s="6" t="n">
        <x:v>3015</x:v>
      </x:c>
      <x:c r="D18" s="6" t="n">
        <x:v>1217.2299999999998</x:v>
      </x:c>
      <x:c r="E18" s="6" t="n">
        <x:v>2766.1419000000005</x:v>
      </x:c>
      <x:c r="F18" s="6" t="n">
        <x:v>320.36</x:v>
      </x:c>
      <x:c r="G18" s="6" t="n">
        <x:v>2926.238100000001</x:v>
      </x:c>
      <x:c r="H18" s="7" t="n">
        <x:f>IFERROR(G18/B18,0)</x:f>
        <x:v>0.2856268100345829</x:v>
      </x:c>
      <x:c r="I18" t="str">
        <x:f>IF(H18&lt;10%,"高风险",IF(H18&lt;20%,"关注","健康"))</x:f>
        <x:v>健康</x:v>
      </x:c>
    </x:row>
    <x:row r="19">
      <x:c r="A19" t="str">
        <x:v>A010</x:v>
      </x:c>
      <x:c r="B19" s="6" t="n">
        <x:v>9514.050000000001</x:v>
      </x:c>
      <x:c r="C19" s="6" t="n">
        <x:v>2677.5</x:v>
      </x:c>
      <x:c r="D19" s="6" t="n">
        <x:v>1151.3700000000001</x:v>
      </x:c>
      <x:c r="E19" s="6" t="n">
        <x:v>2568.7935</x:v>
      </x:c>
      <x:c r="F19" s="6" t="n">
        <x:v>278.67999999999995</x:v>
      </x:c>
      <x:c r="G19" s="6" t="n">
        <x:v>2837.7065000000007</x:v>
      </x:c>
      <x:c r="H19" s="7" t="n">
        <x:f>IFERROR(G19/B19,0)</x:f>
        <x:v>0.2982648293839112</x:v>
      </x:c>
      <x:c r="I19" t="str">
        <x:f>IF(H19&lt;10%,"高风险",IF(H19&lt;20%,"关注","健康"))</x:f>
        <x:v>健康</x:v>
      </x:c>
    </x:row>
    <x:row r="20">
      <x:c r="A20" t="str">
        <x:v>A005</x:v>
      </x:c>
      <x:c r="B20" s="6" t="n">
        <x:v>7936.889999999999</x:v>
      </x:c>
      <x:c r="C20" s="6" t="n">
        <x:v>2138.5</x:v>
      </x:c>
      <x:c r="D20" s="6" t="n">
        <x:v>936.8999999999999</x:v>
      </x:c>
      <x:c r="E20" s="6" t="n">
        <x:v>2142.9602999999997</x:v>
      </x:c>
      <x:c r="F20" s="6" t="n">
        <x:v>246.12</x:v>
      </x:c>
      <x:c r="G20" s="6" t="n">
        <x:v>2472.4097000000006</x:v>
      </x:c>
      <x:c r="H20" s="7" t="n">
        <x:f>IFERROR(G20/B20,0)</x:f>
        <x:v>0.31150862617473607</x:v>
      </x:c>
      <x:c r="I20" t="str">
        <x:f>IF(H20&lt;10%,"高风险",IF(H20&lt;20%,"关注","健康"))</x:f>
        <x:v>健康</x:v>
      </x:c>
    </x:row>
    <x:row r="21">
      <x:c r="A21" t="str">
        <x:v>A009</x:v>
      </x:c>
      <x:c r="B21" s="6" t="n">
        <x:v>7409.819999999999</x:v>
      </x:c>
      <x:c r="C21" s="6" t="n">
        <x:v>1854</x:v>
      </x:c>
      <x:c r="D21" s="6" t="n">
        <x:v>886.2499999999999</x:v>
      </x:c>
      <x:c r="E21" s="6" t="n">
        <x:v>2000.6513999999995</x:v>
      </x:c>
      <x:c r="F21" s="6" t="n">
        <x:v>235.96</x:v>
      </x:c>
      <x:c r="G21" s="6" t="n">
        <x:v>2432.958599999999</x:v>
      </x:c>
      <x:c r="H21" s="7" t="n">
        <x:f>IFERROR(G21/B21,0)</x:f>
        <x:v>0.3283424698575673</x:v>
      </x:c>
      <x:c r="I21" t="str">
        <x:f>IF(H21&lt;10%,"高风险",IF(H21&lt;20%,"关注","健康"))</x:f>
        <x:v>健康</x:v>
      </x:c>
    </x:row>
  </x:sheetData>
  <x:conditionalFormatting sqref="I2:I21">
    <x:cfRule type="containsText" dxfId="0" priority="1" operator="containsText" text="高风险"/>
    <x:cfRule type="containsText" dxfId="1" priority="2" operator="containsText" text="健康"/>
  </x:conditionalFormatting>
  <x:pageMargins left="0.7" right="0.7" top="0.75" bottom="0.75" header="0.3" footer="0.3"/>
  <x:tableParts count="1">
    <x:tablePart xmlns:r="http://schemas.openxmlformats.org/officeDocument/2006/relationships" r:id="R6f030889f39541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8" hidden="0" customWidth="1"/>
    <x:col min="3" max="3" width="10.380000114440918" hidden="0" customWidth="1"/>
    <x:col min="4" max="4" width="24" hidden="0" customWidth="1"/>
    <x:col min="5" max="5" width="24" hidden="0" customWidth="1"/>
    <x:col min="6" max="6" width="6.75" hidden="0" customWidth="1"/>
    <x:col min="7" max="7" width="6.75" hidden="0" customWidth="1"/>
    <x:col min="8" max="8" width="10.380000114440918" hidden="0" customWidth="1"/>
    <x:col min="9" max="9" width="10.380000114440918" hidden="0" customWidth="1"/>
    <x:col min="10" max="10" width="12.25" hidden="0" customWidth="1"/>
    <x:col min="11" max="11" width="6" hidden="0" customWidth="1"/>
    <x:col min="12" max="12" width="6.130000114440918" hidden="0" customWidth="1"/>
    <x:col min="13" max="13" width="6" hidden="0" customWidth="1"/>
    <x:col min="14" max="14" width="7.25" hidden="0" customWidth="1"/>
    <x:col min="15" max="15" width="22" hidden="0" customWidth="1"/>
  </x:cols>
  <x:sheetData>
    <x:row r="1">
      <x:c r="A1" s="5" t="str">
        <x:v>SKU</x:v>
      </x:c>
      <x:c r="B1" s="5" t="str">
        <x:v>广告活动</x:v>
      </x:c>
      <x:c r="C1" s="5" t="str">
        <x:v>匹配方式</x:v>
      </x:c>
      <x:c r="D1" s="5" t="str">
        <x:v>关键词</x:v>
      </x:c>
      <x:c r="E1" s="5" t="str">
        <x:v>搜索词</x:v>
      </x:c>
      <x:c r="F1" s="5" t="str">
        <x:v>曝光</x:v>
      </x:c>
      <x:c r="G1" s="5" t="str">
        <x:v>点击</x:v>
      </x:c>
      <x:c r="H1" s="5" t="str">
        <x:v>广告花费</x:v>
      </x:c>
      <x:c r="I1" s="5" t="str">
        <x:v>广告订单</x:v>
      </x:c>
      <x:c r="J1" s="5" t="str">
        <x:v>广告销售额</x:v>
      </x:c>
      <x:c r="K1" s="5" t="str">
        <x:v>CTR</x:v>
      </x:c>
      <x:c r="L1" s="5" t="str">
        <x:v>CVR</x:v>
      </x:c>
      <x:c r="M1" s="5" t="str">
        <x:v>CPC</x:v>
      </x:c>
      <x:c r="N1" s="5" t="str">
        <x:v>ACOS</x:v>
      </x:c>
      <x:c r="O1" s="5" t="str">
        <x:v>建议动作</x:v>
      </x:c>
    </x:row>
    <x:row r="2">
      <x:c r="A2" t="str">
        <x:v>A001</x:v>
      </x:c>
      <x:c r="B2" t="str">
        <x:v>SP-A001-Core</x:v>
      </x:c>
      <x:c r="C2" t="str">
        <x:v>精准</x:v>
      </x:c>
      <x:c r="D2" t="str">
        <x:v>portable blender</x:v>
      </x:c>
      <x:c r="E2" t="str">
        <x:v>portable blender</x:v>
      </x:c>
      <x:c r="F2" t="n">
        <x:v>12144</x:v>
      </x:c>
      <x:c r="G2" t="n">
        <x:v>73</x:v>
      </x:c>
      <x:c r="H2" s="8" t="n">
        <x:v>54.75</x:v>
      </x:c>
      <x:c r="I2" t="n">
        <x:v>9</x:v>
      </x:c>
      <x:c r="J2" s="6" t="n">
        <x:v>359.91</x:v>
      </x:c>
      <x:c r="K2" s="9" t="n">
        <x:f>IFERROR(G2/F2,0)</x:f>
        <x:v>0.006011198945981555</x:v>
      </x:c>
      <x:c r="L2" s="9" t="n">
        <x:f>IFERROR(I2/G2,0)</x:f>
        <x:v>0.1232876712328767</x:v>
      </x:c>
      <x:c r="M2" s="10" t="n">
        <x:f>IFERROR(H2/G2,0)</x:f>
        <x:v>0.75</x:v>
      </x:c>
      <x:c r="N2" s="7" t="n">
        <x:f>IFERROR(H2/J2,0)</x:f>
        <x:v>0.15212136367425189</x:v>
      </x:c>
      <x:c r="O2" t="str">
        <x:f>IF(I2=0,IF(H2&gt;=15,"P0 · 否定或暂停","P2 · 继续观察"),IF(N2&gt;45%,"P1 · 降低竞价",IF(AND(I2&gt;=3,N2&lt;=25%),"P1 · 精准扩量","观察")))</x:f>
        <x:v>P1 · 精准扩量</x:v>
      </x:c>
    </x:row>
    <x:row r="3">
      <x:c r="A3" t="str">
        <x:v>A001</x:v>
      </x:c>
      <x:c r="B3" t="str">
        <x:v>SP-A001-Core</x:v>
      </x:c>
      <x:c r="C3" t="str">
        <x:v>词组</x:v>
      </x:c>
      <x:c r="D3" t="str">
        <x:v>portable blender</x:v>
      </x:c>
      <x:c r="E3" t="str">
        <x:v>best portable blender</x:v>
      </x:c>
      <x:c r="F3" t="n">
        <x:v>9847</x:v>
      </x:c>
      <x:c r="G3" t="n">
        <x:v>51</x:v>
      </x:c>
      <x:c r="H3" s="8" t="n">
        <x:v>44.37</x:v>
      </x:c>
      <x:c r="I3" t="n">
        <x:v>4</x:v>
      </x:c>
      <x:c r="J3" s="6" t="n">
        <x:v>159.96</x:v>
      </x:c>
      <x:c r="K3" s="9" t="n">
        <x:f>IFERROR(G3/F3,0)</x:f>
        <x:v>0.005179242408855489</x:v>
      </x:c>
      <x:c r="L3" s="9" t="n">
        <x:f>IFERROR(I3/G3,0)</x:f>
        <x:v>0.0784313725490196</x:v>
      </x:c>
      <x:c r="M3" s="10" t="n">
        <x:f>IFERROR(H3/G3,0)</x:f>
        <x:v>0.87</x:v>
      </x:c>
      <x:c r="N3" s="7" t="n">
        <x:f>IFERROR(H3/J3,0)</x:f>
        <x:v>0.2773818454613653</x:v>
      </x:c>
      <x:c r="O3" t="str">
        <x:f>IF(I3=0,IF(H3&gt;=15,"P0 · 否定或暂停","P2 · 继续观察"),IF(N3&gt;45%,"P1 · 降低竞价",IF(AND(I3&gt;=3,N3&lt;=25%),"P1 · 精准扩量","观察")))</x:f>
        <x:v>观察</x:v>
      </x:c>
    </x:row>
    <x:row r="4">
      <x:c r="A4" t="str">
        <x:v>A001</x:v>
      </x:c>
      <x:c r="B4" t="str">
        <x:v>SP-A001-Core</x:v>
      </x:c>
      <x:c r="C4" t="str">
        <x:v>广泛</x:v>
      </x:c>
      <x:c r="D4" t="str">
        <x:v>portable blender</x:v>
      </x:c>
      <x:c r="E4" t="str">
        <x:v>cheap kitchen</x:v>
      </x:c>
      <x:c r="F4" t="n">
        <x:v>8176</x:v>
      </x:c>
      <x:c r="G4" t="n">
        <x:v>36</x:v>
      </x:c>
      <x:c r="H4" s="8" t="n">
        <x:v>35.64</x:v>
      </x:c>
      <x:c r="I4" t="n">
        <x:v>0</x:v>
      </x:c>
      <x:c r="J4" s="6" t="n">
        <x:v>0</x:v>
      </x:c>
      <x:c r="K4" s="9" t="n">
        <x:f>IFERROR(G4/F4,0)</x:f>
        <x:v>0.004403131115459882</x:v>
      </x:c>
      <x:c r="L4" s="9" t="n">
        <x:f>IFERROR(I4/G4,0)</x:f>
        <x:v>0</x:v>
      </x:c>
      <x:c r="M4" s="10" t="n">
        <x:f>IFERROR(H4/G4,0)</x:f>
        <x:v>0.99</x:v>
      </x:c>
      <x:c r="N4" s="7" t="n">
        <x:f>IFERROR(H4/J4,0)</x:f>
        <x:v>0</x:v>
      </x:c>
      <x:c r="O4" t="str">
        <x:f>IF(I4=0,IF(H4&gt;=15,"P0 · 否定或暂停","P2 · 继续观察"),IF(N4&gt;45%,"P1 · 降低竞价",IF(AND(I4&gt;=3,N4&lt;=25%),"P1 · 精准扩量","观察")))</x:f>
        <x:v>P0 · 否定或暂停</x:v>
      </x:c>
    </x:row>
    <x:row r="5">
      <x:c r="A5" t="str">
        <x:v>A001</x:v>
      </x:c>
      <x:c r="B5" t="str">
        <x:v>SP-A001-Core</x:v>
      </x:c>
      <x:c r="C5" t="str">
        <x:v>自动</x:v>
      </x:c>
      <x:c r="D5" t="str">
        <x:v>portable blender</x:v>
      </x:c>
      <x:c r="E5" t="str">
        <x:v>portable blender accessory</x:v>
      </x:c>
      <x:c r="F5" t="n">
        <x:v>6331</x:v>
      </x:c>
      <x:c r="G5" t="n">
        <x:v>23</x:v>
      </x:c>
      <x:c r="H5" s="8" t="n">
        <x:v>25.53</x:v>
      </x:c>
      <x:c r="I5" t="n">
        <x:v>1</x:v>
      </x:c>
      <x:c r="J5" s="6" t="n">
        <x:v>39.99</x:v>
      </x:c>
      <x:c r="K5" s="9" t="n">
        <x:f>IFERROR(G5/F5,0)</x:f>
        <x:v>0.003632917390617596</x:v>
      </x:c>
      <x:c r="L5" s="9" t="n">
        <x:f>IFERROR(I5/G5,0)</x:f>
        <x:v>0.043478260869565216</x:v>
      </x:c>
      <x:c r="M5" s="10" t="n">
        <x:f>IFERROR(H5/G5,0)</x:f>
        <x:v>1.11</x:v>
      </x:c>
      <x:c r="N5" s="7" t="n">
        <x:f>IFERROR(H5/J5,0)</x:f>
        <x:v>0.6384096024006002</x:v>
      </x:c>
      <x:c r="O5" t="str">
        <x:f>IF(I5=0,IF(H5&gt;=15,"P0 · 否定或暂停","P2 · 继续观察"),IF(N5&gt;45%,"P1 · 降低竞价",IF(AND(I5&gt;=3,N5&lt;=25%),"P1 · 精准扩量","观察")))</x:f>
        <x:v>P1 · 降低竞价</x:v>
      </x:c>
    </x:row>
    <x:row r="6">
      <x:c r="A6" t="str">
        <x:v>A002</x:v>
      </x:c>
      <x:c r="B6" t="str">
        <x:v>SP-A002-Core</x:v>
      </x:c>
      <x:c r="C6" t="str">
        <x:v>精准</x:v>
      </x:c>
      <x:c r="D6" t="str">
        <x:v>pet water fountain</x:v>
      </x:c>
      <x:c r="E6" t="str">
        <x:v>pet water fountain</x:v>
      </x:c>
      <x:c r="F6" t="n">
        <x:v>12325</x:v>
      </x:c>
      <x:c r="G6" t="n">
        <x:v>74</x:v>
      </x:c>
      <x:c r="H6" s="8" t="n">
        <x:v>55.5</x:v>
      </x:c>
      <x:c r="I6" t="n">
        <x:v>9</x:v>
      </x:c>
      <x:c r="J6" s="6" t="n">
        <x:v>296.91</x:v>
      </x:c>
      <x:c r="K6" s="9" t="n">
        <x:f>IFERROR(G6/F6,0)</x:f>
        <x:v>0.006004056795131846</x:v>
      </x:c>
      <x:c r="L6" s="9" t="n">
        <x:f>IFERROR(I6/G6,0)</x:f>
        <x:v>0.12162162162162163</x:v>
      </x:c>
      <x:c r="M6" s="10" t="n">
        <x:f>IFERROR(H6/G6,0)</x:f>
        <x:v>0.75</x:v>
      </x:c>
      <x:c r="N6" s="7" t="n">
        <x:f>IFERROR(H6/J6,0)</x:f>
        <x:v>0.18692533090835606</x:v>
      </x:c>
      <x:c r="O6" t="str">
        <x:f>IF(I6=0,IF(H6&gt;=15,"P0 · 否定或暂停","P2 · 继续观察"),IF(N6&gt;45%,"P1 · 降低竞价",IF(AND(I6&gt;=3,N6&lt;=25%),"P1 · 精准扩量","观察")))</x:f>
        <x:v>P1 · 精准扩量</x:v>
      </x:c>
    </x:row>
    <x:row r="7">
      <x:c r="A7" t="str">
        <x:v>A002</x:v>
      </x:c>
      <x:c r="B7" t="str">
        <x:v>SP-A002-Core</x:v>
      </x:c>
      <x:c r="C7" t="str">
        <x:v>词组</x:v>
      </x:c>
      <x:c r="D7" t="str">
        <x:v>pet water fountain</x:v>
      </x:c>
      <x:c r="E7" t="str">
        <x:v>best pet water fountain</x:v>
      </x:c>
      <x:c r="F7" t="n">
        <x:v>10626</x:v>
      </x:c>
      <x:c r="G7" t="n">
        <x:v>55</x:v>
      </x:c>
      <x:c r="H7" s="8" t="n">
        <x:v>47.85</x:v>
      </x:c>
      <x:c r="I7" t="n">
        <x:v>4</x:v>
      </x:c>
      <x:c r="J7" s="6" t="n">
        <x:v>131.96</x:v>
      </x:c>
      <x:c r="K7" s="9" t="n">
        <x:f>IFERROR(G7/F7,0)</x:f>
        <x:v>0.005175983436853002</x:v>
      </x:c>
      <x:c r="L7" s="9" t="n">
        <x:f>IFERROR(I7/G7,0)</x:f>
        <x:v>0.07272727272727272</x:v>
      </x:c>
      <x:c r="M7" s="10" t="n">
        <x:f>IFERROR(H7/G7,0)</x:f>
        <x:v>0.87</x:v>
      </x:c>
      <x:c r="N7" s="7" t="n">
        <x:f>IFERROR(H7/J7,0)</x:f>
        <x:v>0.36260988178235826</x:v>
      </x:c>
      <x:c r="O7" t="str">
        <x:f>IF(I7=0,IF(H7&gt;=15,"P0 · 否定或暂停","P2 · 继续观察"),IF(N7&gt;45%,"P1 · 降低竞价",IF(AND(I7&gt;=3,N7&lt;=25%),"P1 · 精准扩量","观察")))</x:f>
        <x:v>观察</x:v>
      </x:c>
    </x:row>
    <x:row r="8">
      <x:c r="A8" t="str">
        <x:v>A002</x:v>
      </x:c>
      <x:c r="B8" t="str">
        <x:v>SP-A002-Core</x:v>
      </x:c>
      <x:c r="C8" t="str">
        <x:v>广泛</x:v>
      </x:c>
      <x:c r="D8" t="str">
        <x:v>pet water fountain</x:v>
      </x:c>
      <x:c r="E8" t="str">
        <x:v>cheap pet supplies</x:v>
      </x:c>
      <x:c r="F8" t="n">
        <x:v>8265</x:v>
      </x:c>
      <x:c r="G8" t="n">
        <x:v>36</x:v>
      </x:c>
      <x:c r="H8" s="8" t="n">
        <x:v>35.64</x:v>
      </x:c>
      <x:c r="I8" t="n">
        <x:v>0</x:v>
      </x:c>
      <x:c r="J8" s="6" t="n">
        <x:v>0</x:v>
      </x:c>
      <x:c r="K8" s="9" t="n">
        <x:f>IFERROR(G8/F8,0)</x:f>
        <x:v>0.004355716878402904</x:v>
      </x:c>
      <x:c r="L8" s="9" t="n">
        <x:f>IFERROR(I8/G8,0)</x:f>
        <x:v>0</x:v>
      </x:c>
      <x:c r="M8" s="10" t="n">
        <x:f>IFERROR(H8/G8,0)</x:f>
        <x:v>0.99</x:v>
      </x:c>
      <x:c r="N8" s="7" t="n">
        <x:f>IFERROR(H8/J8,0)</x:f>
        <x:v>0</x:v>
      </x:c>
      <x:c r="O8" t="str">
        <x:f>IF(I8=0,IF(H8&gt;=15,"P0 · 否定或暂停","P2 · 继续观察"),IF(N8&gt;45%,"P1 · 降低竞价",IF(AND(I8&gt;=3,N8&lt;=25%),"P1 · 精准扩量","观察")))</x:f>
        <x:v>P0 · 否定或暂停</x:v>
      </x:c>
    </x:row>
    <x:row r="9">
      <x:c r="A9" t="str">
        <x:v>A002</x:v>
      </x:c>
      <x:c r="B9" t="str">
        <x:v>SP-A002-Core</x:v>
      </x:c>
      <x:c r="C9" t="str">
        <x:v>自动</x:v>
      </x:c>
      <x:c r="D9" t="str">
        <x:v>pet water fountain</x:v>
      </x:c>
      <x:c r="E9" t="str">
        <x:v>pet water fountain accessory</x:v>
      </x:c>
      <x:c r="F9" t="n">
        <x:v>6327</x:v>
      </x:c>
      <x:c r="G9" t="n">
        <x:v>23</x:v>
      </x:c>
      <x:c r="H9" s="8" t="n">
        <x:v>25.53</x:v>
      </x:c>
      <x:c r="I9" t="n">
        <x:v>1</x:v>
      </x:c>
      <x:c r="J9" s="6" t="n">
        <x:v>32.99</x:v>
      </x:c>
      <x:c r="K9" s="9" t="n">
        <x:f>IFERROR(G9/F9,0)</x:f>
        <x:v>0.003635214161529951</x:v>
      </x:c>
      <x:c r="L9" s="9" t="n">
        <x:f>IFERROR(I9/G9,0)</x:f>
        <x:v>0.043478260869565216</x:v>
      </x:c>
      <x:c r="M9" s="10" t="n">
        <x:f>IFERROR(H9/G9,0)</x:f>
        <x:v>1.11</x:v>
      </x:c>
      <x:c r="N9" s="7" t="n">
        <x:f>IFERROR(H9/J9,0)</x:f>
        <x:v>0.7738708699605941</x:v>
      </x:c>
      <x:c r="O9" t="str">
        <x:f>IF(I9=0,IF(H9&gt;=15,"P0 · 否定或暂停","P2 · 继续观察"),IF(N9&gt;45%,"P1 · 降低竞价",IF(AND(I9&gt;=3,N9&lt;=25%),"P1 · 精准扩量","观察")))</x:f>
        <x:v>P1 · 降低竞价</x:v>
      </x:c>
    </x:row>
    <x:row r="10">
      <x:c r="A10" t="str">
        <x:v>A003</x:v>
      </x:c>
      <x:c r="B10" t="str">
        <x:v>SP-A003-Core</x:v>
      </x:c>
      <x:c r="C10" t="str">
        <x:v>精准</x:v>
      </x:c>
      <x:c r="D10" t="str">
        <x:v>led desk lamp</x:v>
      </x:c>
      <x:c r="E10" t="str">
        <x:v>led desk lamp</x:v>
      </x:c>
      <x:c r="F10" t="n">
        <x:v>12150</x:v>
      </x:c>
      <x:c r="G10" t="n">
        <x:v>73</x:v>
      </x:c>
      <x:c r="H10" s="8" t="n">
        <x:v>54.75</x:v>
      </x:c>
      <x:c r="I10" t="n">
        <x:v>9</x:v>
      </x:c>
      <x:c r="J10" s="6" t="n">
        <x:v>224.91</x:v>
      </x:c>
      <x:c r="K10" s="9" t="n">
        <x:f>IFERROR(G10/F10,0)</x:f>
        <x:v>0.006008230452674897</x:v>
      </x:c>
      <x:c r="L10" s="9" t="n">
        <x:f>IFERROR(I10/G10,0)</x:f>
        <x:v>0.1232876712328767</x:v>
      </x:c>
      <x:c r="M10" s="10" t="n">
        <x:f>IFERROR(H10/G10,0)</x:f>
        <x:v>0.75</x:v>
      </x:c>
      <x:c r="N10" s="7" t="n">
        <x:f>IFERROR(H10/J10,0)</x:f>
        <x:v>0.24343070561557956</x:v>
      </x:c>
      <x:c r="O10" t="str">
        <x:f>IF(I10=0,IF(H10&gt;=15,"P0 · 否定或暂停","P2 · 继续观察"),IF(N10&gt;45%,"P1 · 降低竞价",IF(AND(I10&gt;=3,N10&lt;=25%),"P1 · 精准扩量","观察")))</x:f>
        <x:v>P1 · 精准扩量</x:v>
      </x:c>
    </x:row>
    <x:row r="11">
      <x:c r="A11" t="str">
        <x:v>A003</x:v>
      </x:c>
      <x:c r="B11" t="str">
        <x:v>SP-A003-Core</x:v>
      </x:c>
      <x:c r="C11" t="str">
        <x:v>词组</x:v>
      </x:c>
      <x:c r="D11" t="str">
        <x:v>led desk lamp</x:v>
      </x:c>
      <x:c r="E11" t="str">
        <x:v>best led desk lamp</x:v>
      </x:c>
      <x:c r="F11" t="n">
        <x:v>10135</x:v>
      </x:c>
      <x:c r="G11" t="n">
        <x:v>53</x:v>
      </x:c>
      <x:c r="H11" s="8" t="n">
        <x:v>46.11</x:v>
      </x:c>
      <x:c r="I11" t="n">
        <x:v>4</x:v>
      </x:c>
      <x:c r="J11" s="6" t="n">
        <x:v>99.96</x:v>
      </x:c>
      <x:c r="K11" s="9" t="n">
        <x:f>IFERROR(G11/F11,0)</x:f>
        <x:v>0.005229403058707449</x:v>
      </x:c>
      <x:c r="L11" s="9" t="n">
        <x:f>IFERROR(I11/G11,0)</x:f>
        <x:v>0.07547169811320754</x:v>
      </x:c>
      <x:c r="M11" s="10" t="n">
        <x:f>IFERROR(H11/G11,0)</x:f>
        <x:v>0.87</x:v>
      </x:c>
      <x:c r="N11" s="7" t="n">
        <x:f>IFERROR(H11/J11,0)</x:f>
        <x:v>0.4612845138055222</x:v>
      </x:c>
      <x:c r="O11" t="str">
        <x:f>IF(I11=0,IF(H11&gt;=15,"P0 · 否定或暂停","P2 · 继续观察"),IF(N11&gt;45%,"P1 · 降低竞价",IF(AND(I11&gt;=3,N11&lt;=25%),"P1 · 精准扩量","观察")))</x:f>
        <x:v>P1 · 降低竞价</x:v>
      </x:c>
    </x:row>
    <x:row r="12">
      <x:c r="A12" t="str">
        <x:v>A003</x:v>
      </x:c>
      <x:c r="B12" t="str">
        <x:v>SP-A003-Core</x:v>
      </x:c>
      <x:c r="C12" t="str">
        <x:v>广泛</x:v>
      </x:c>
      <x:c r="D12" t="str">
        <x:v>led desk lamp</x:v>
      </x:c>
      <x:c r="E12" t="str">
        <x:v>cheap home office</x:v>
      </x:c>
      <x:c r="F12" t="n">
        <x:v>8298</x:v>
      </x:c>
      <x:c r="G12" t="n">
        <x:v>37</x:v>
      </x:c>
      <x:c r="H12" s="8" t="n">
        <x:v>36.63</x:v>
      </x:c>
      <x:c r="I12" t="n">
        <x:v>0</x:v>
      </x:c>
      <x:c r="J12" s="6" t="n">
        <x:v>0</x:v>
      </x:c>
      <x:c r="K12" s="9" t="n">
        <x:f>IFERROR(G12/F12,0)</x:f>
        <x:v>0.004458905760424198</x:v>
      </x:c>
      <x:c r="L12" s="9" t="n">
        <x:f>IFERROR(I12/G12,0)</x:f>
        <x:v>0</x:v>
      </x:c>
      <x:c r="M12" s="10" t="n">
        <x:f>IFERROR(H12/G12,0)</x:f>
        <x:v>0.9900000000000001</x:v>
      </x:c>
      <x:c r="N12" s="7" t="n">
        <x:f>IFERROR(H12/J12,0)</x:f>
        <x:v>0</x:v>
      </x:c>
      <x:c r="O12" t="str">
        <x:f>IF(I12=0,IF(H12&gt;=15,"P0 · 否定或暂停","P2 · 继续观察"),IF(N12&gt;45%,"P1 · 降低竞价",IF(AND(I12&gt;=3,N12&lt;=25%),"P1 · 精准扩量","观察")))</x:f>
        <x:v>P0 · 否定或暂停</x:v>
      </x:c>
    </x:row>
    <x:row r="13">
      <x:c r="A13" t="str">
        <x:v>A003</x:v>
      </x:c>
      <x:c r="B13" t="str">
        <x:v>SP-A003-Core</x:v>
      </x:c>
      <x:c r="C13" t="str">
        <x:v>自动</x:v>
      </x:c>
      <x:c r="D13" t="str">
        <x:v>led desk lamp</x:v>
      </x:c>
      <x:c r="E13" t="str">
        <x:v>led desk lamp accessory</x:v>
      </x:c>
      <x:c r="F13" t="n">
        <x:v>6310</x:v>
      </x:c>
      <x:c r="G13" t="n">
        <x:v>23</x:v>
      </x:c>
      <x:c r="H13" s="8" t="n">
        <x:v>25.53</x:v>
      </x:c>
      <x:c r="I13" t="n">
        <x:v>1</x:v>
      </x:c>
      <x:c r="J13" s="6" t="n">
        <x:v>24.99</x:v>
      </x:c>
      <x:c r="K13" s="9" t="n">
        <x:f>IFERROR(G13/F13,0)</x:f>
        <x:v>0.0036450079239302696</x:v>
      </x:c>
      <x:c r="L13" s="9" t="n">
        <x:f>IFERROR(I13/G13,0)</x:f>
        <x:v>0.043478260869565216</x:v>
      </x:c>
      <x:c r="M13" s="10" t="n">
        <x:f>IFERROR(H13/G13,0)</x:f>
        <x:v>1.11</x:v>
      </x:c>
      <x:c r="N13" s="7" t="n">
        <x:f>IFERROR(H13/J13,0)</x:f>
        <x:v>1.021608643457383</x:v>
      </x:c>
      <x:c r="O13" t="str">
        <x:f>IF(I13=0,IF(H13&gt;=15,"P0 · 否定或暂停","P2 · 继续观察"),IF(N13&gt;45%,"P1 · 降低竞价",IF(AND(I13&gt;=3,N13&lt;=25%),"P1 · 精准扩量","观察")))</x:f>
        <x:v>P1 · 降低竞价</x:v>
      </x:c>
    </x:row>
    <x:row r="14">
      <x:c r="A14" t="str">
        <x:v>A004</x:v>
      </x:c>
      <x:c r="B14" t="str">
        <x:v>SP-A004-Core</x:v>
      </x:c>
      <x:c r="C14" t="str">
        <x:v>精准</x:v>
      </x:c>
      <x:c r="D14" t="str">
        <x:v>yoga mat</x:v>
      </x:c>
      <x:c r="E14" t="str">
        <x:v>yoga mat</x:v>
      </x:c>
      <x:c r="F14" t="n">
        <x:v>11890</x:v>
      </x:c>
      <x:c r="G14" t="n">
        <x:v>71</x:v>
      </x:c>
      <x:c r="H14" s="8" t="n">
        <x:v>53.25</x:v>
      </x:c>
      <x:c r="I14" t="n">
        <x:v>9</x:v>
      </x:c>
      <x:c r="J14" s="6" t="n">
        <x:v>179.91</x:v>
      </x:c>
      <x:c r="K14" s="9" t="n">
        <x:f>IFERROR(G14/F14,0)</x:f>
        <x:v>0.005971404541631623</x:v>
      </x:c>
      <x:c r="L14" s="9" t="n">
        <x:f>IFERROR(I14/G14,0)</x:f>
        <x:v>0.1267605633802817</x:v>
      </x:c>
      <x:c r="M14" s="10" t="n">
        <x:f>IFERROR(H14/G14,0)</x:f>
        <x:v>0.75</x:v>
      </x:c>
      <x:c r="N14" s="7" t="n">
        <x:f>IFERROR(H14/J14,0)</x:f>
        <x:v>0.295981323995331</x:v>
      </x:c>
      <x:c r="O14" t="str">
        <x:f>IF(I14=0,IF(H14&gt;=15,"P0 · 否定或暂停","P2 · 继续观察"),IF(N14&gt;45%,"P1 · 降低竞价",IF(AND(I14&gt;=3,N14&lt;=25%),"P1 · 精准扩量","观察")))</x:f>
        <x:v>观察</x:v>
      </x:c>
    </x:row>
    <x:row r="15">
      <x:c r="A15" t="str">
        <x:v>A004</x:v>
      </x:c>
      <x:c r="B15" t="str">
        <x:v>SP-A004-Core</x:v>
      </x:c>
      <x:c r="C15" t="str">
        <x:v>词组</x:v>
      </x:c>
      <x:c r="D15" t="str">
        <x:v>yoga mat</x:v>
      </x:c>
      <x:c r="E15" t="str">
        <x:v>best yoga mat</x:v>
      </x:c>
      <x:c r="F15" t="n">
        <x:v>10198</x:v>
      </x:c>
      <x:c r="G15" t="n">
        <x:v>53</x:v>
      </x:c>
      <x:c r="H15" s="8" t="n">
        <x:v>46.11</x:v>
      </x:c>
      <x:c r="I15" t="n">
        <x:v>4</x:v>
      </x:c>
      <x:c r="J15" s="6" t="n">
        <x:v>79.96</x:v>
      </x:c>
      <x:c r="K15" s="9" t="n">
        <x:f>IFERROR(G15/F15,0)</x:f>
        <x:v>0.005197097470092175</x:v>
      </x:c>
      <x:c r="L15" s="9" t="n">
        <x:f>IFERROR(I15/G15,0)</x:f>
        <x:v>0.07547169811320754</x:v>
      </x:c>
      <x:c r="M15" s="10" t="n">
        <x:f>IFERROR(H15/G15,0)</x:f>
        <x:v>0.87</x:v>
      </x:c>
      <x:c r="N15" s="7" t="n">
        <x:f>IFERROR(H15/J15,0)</x:f>
        <x:v>0.576663331665833</x:v>
      </x:c>
      <x:c r="O15" t="str">
        <x:f>IF(I15=0,IF(H15&gt;=15,"P0 · 否定或暂停","P2 · 继续观察"),IF(N15&gt;45%,"P1 · 降低竞价",IF(AND(I15&gt;=3,N15&lt;=25%),"P1 · 精准扩量","观察")))</x:f>
        <x:v>P1 · 降低竞价</x:v>
      </x:c>
    </x:row>
    <x:row r="16">
      <x:c r="A16" t="str">
        <x:v>A004</x:v>
      </x:c>
      <x:c r="B16" t="str">
        <x:v>SP-A004-Core</x:v>
      </x:c>
      <x:c r="C16" t="str">
        <x:v>广泛</x:v>
      </x:c>
      <x:c r="D16" t="str">
        <x:v>yoga mat</x:v>
      </x:c>
      <x:c r="E16" t="str">
        <x:v>cheap sports</x:v>
      </x:c>
      <x:c r="F16" t="n">
        <x:v>8439</x:v>
      </x:c>
      <x:c r="G16" t="n">
        <x:v>37</x:v>
      </x:c>
      <x:c r="H16" s="8" t="n">
        <x:v>36.63</x:v>
      </x:c>
      <x:c r="I16" t="n">
        <x:v>0</x:v>
      </x:c>
      <x:c r="J16" s="6" t="n">
        <x:v>0</x:v>
      </x:c>
      <x:c r="K16" s="9" t="n">
        <x:f>IFERROR(G16/F16,0)</x:f>
        <x:v>0.004384405735276691</x:v>
      </x:c>
      <x:c r="L16" s="9" t="n">
        <x:f>IFERROR(I16/G16,0)</x:f>
        <x:v>0</x:v>
      </x:c>
      <x:c r="M16" s="10" t="n">
        <x:f>IFERROR(H16/G16,0)</x:f>
        <x:v>0.9900000000000001</x:v>
      </x:c>
      <x:c r="N16" s="7" t="n">
        <x:f>IFERROR(H16/J16,0)</x:f>
        <x:v>0</x:v>
      </x:c>
      <x:c r="O16" t="str">
        <x:f>IF(I16=0,IF(H16&gt;=15,"P0 · 否定或暂停","P2 · 继续观察"),IF(N16&gt;45%,"P1 · 降低竞价",IF(AND(I16&gt;=3,N16&lt;=25%),"P1 · 精准扩量","观察")))</x:f>
        <x:v>P0 · 否定或暂停</x:v>
      </x:c>
    </x:row>
    <x:row r="17">
      <x:c r="A17" t="str">
        <x:v>A004</x:v>
      </x:c>
      <x:c r="B17" t="str">
        <x:v>SP-A004-Core</x:v>
      </x:c>
      <x:c r="C17" t="str">
        <x:v>自动</x:v>
      </x:c>
      <x:c r="D17" t="str">
        <x:v>yoga mat</x:v>
      </x:c>
      <x:c r="E17" t="str">
        <x:v>yoga mat accessory</x:v>
      </x:c>
      <x:c r="F17" t="n">
        <x:v>6662</x:v>
      </x:c>
      <x:c r="G17" t="n">
        <x:v>24</x:v>
      </x:c>
      <x:c r="H17" s="8" t="n">
        <x:v>26.64</x:v>
      </x:c>
      <x:c r="I17" t="n">
        <x:v>1</x:v>
      </x:c>
      <x:c r="J17" s="6" t="n">
        <x:v>19.99</x:v>
      </x:c>
      <x:c r="K17" s="9" t="n">
        <x:f>IFERROR(G17/F17,0)</x:f>
        <x:v>0.003602521765235665</x:v>
      </x:c>
      <x:c r="L17" s="9" t="n">
        <x:f>IFERROR(I17/G17,0)</x:f>
        <x:v>0.041666666666666664</x:v>
      </x:c>
      <x:c r="M17" s="10" t="n">
        <x:f>IFERROR(H17/G17,0)</x:f>
        <x:v>1.11</x:v>
      </x:c>
      <x:c r="N17" s="7" t="n">
        <x:f>IFERROR(H17/J17,0)</x:f>
        <x:v>1.3326663331665833</x:v>
      </x:c>
      <x:c r="O17" t="str">
        <x:f>IF(I17=0,IF(H17&gt;=15,"P0 · 否定或暂停","P2 · 继续观察"),IF(N17&gt;45%,"P1 · 降低竞价",IF(AND(I17&gt;=3,N17&lt;=25%),"P1 · 精准扩量","观察")))</x:f>
        <x:v>P1 · 降低竞价</x:v>
      </x:c>
    </x:row>
    <x:row r="18">
      <x:c r="A18" t="str">
        <x:v>A005</x:v>
      </x:c>
      <x:c r="B18" t="str">
        <x:v>SP-A005-Core</x:v>
      </x:c>
      <x:c r="C18" t="str">
        <x:v>精准</x:v>
      </x:c>
      <x:c r="D18" t="str">
        <x:v>phone stand</x:v>
      </x:c>
      <x:c r="E18" t="str">
        <x:v>phone stand</x:v>
      </x:c>
      <x:c r="F18" t="n">
        <x:v>11990</x:v>
      </x:c>
      <x:c r="G18" t="n">
        <x:v>72</x:v>
      </x:c>
      <x:c r="H18" s="8" t="n">
        <x:v>54</x:v>
      </x:c>
      <x:c r="I18" t="n">
        <x:v>9</x:v>
      </x:c>
      <x:c r="J18" s="6" t="n">
        <x:v>116.91</x:v>
      </x:c>
      <x:c r="K18" s="9" t="n">
        <x:f>IFERROR(G18/F18,0)</x:f>
        <x:v>0.006005004170141785</x:v>
      </x:c>
      <x:c r="L18" s="9" t="n">
        <x:f>IFERROR(I18/G18,0)</x:f>
        <x:v>0.125</x:v>
      </x:c>
      <x:c r="M18" s="10" t="n">
        <x:f>IFERROR(H18/G18,0)</x:f>
        <x:v>0.75</x:v>
      </x:c>
      <x:c r="N18" s="7" t="n">
        <x:f>IFERROR(H18/J18,0)</x:f>
        <x:v>0.4618937644341802</x:v>
      </x:c>
      <x:c r="O18" t="str">
        <x:f>IF(I18=0,IF(H18&gt;=15,"P0 · 否定或暂停","P2 · 继续观察"),IF(N18&gt;45%,"P1 · 降低竞价",IF(AND(I18&gt;=3,N18&lt;=25%),"P1 · 精准扩量","观察")))</x:f>
        <x:v>P1 · 降低竞价</x:v>
      </x:c>
    </x:row>
    <x:row r="19">
      <x:c r="A19" t="str">
        <x:v>A005</x:v>
      </x:c>
      <x:c r="B19" t="str">
        <x:v>SP-A005-Core</x:v>
      </x:c>
      <x:c r="C19" t="str">
        <x:v>词组</x:v>
      </x:c>
      <x:c r="D19" t="str">
        <x:v>phone stand</x:v>
      </x:c>
      <x:c r="E19" t="str">
        <x:v>best phone stand</x:v>
      </x:c>
      <x:c r="F19" t="n">
        <x:v>10141</x:v>
      </x:c>
      <x:c r="G19" t="n">
        <x:v>53</x:v>
      </x:c>
      <x:c r="H19" s="8" t="n">
        <x:v>46.11</x:v>
      </x:c>
      <x:c r="I19" t="n">
        <x:v>4</x:v>
      </x:c>
      <x:c r="J19" s="6" t="n">
        <x:v>51.96</x:v>
      </x:c>
      <x:c r="K19" s="9" t="n">
        <x:f>IFERROR(G19/F19,0)</x:f>
        <x:v>0.005226309042500739</x:v>
      </x:c>
      <x:c r="L19" s="9" t="n">
        <x:f>IFERROR(I19/G19,0)</x:f>
        <x:v>0.07547169811320754</x:v>
      </x:c>
      <x:c r="M19" s="10" t="n">
        <x:f>IFERROR(H19/G19,0)</x:f>
        <x:v>0.87</x:v>
      </x:c>
      <x:c r="N19" s="7" t="n">
        <x:f>IFERROR(H19/J19,0)</x:f>
        <x:v>0.8874133949191686</x:v>
      </x:c>
      <x:c r="O19" t="str">
        <x:f>IF(I19=0,IF(H19&gt;=15,"P0 · 否定或暂停","P2 · 继续观察"),IF(N19&gt;45%,"P1 · 降低竞价",IF(AND(I19&gt;=3,N19&lt;=25%),"P1 · 精准扩量","观察")))</x:f>
        <x:v>P1 · 降低竞价</x:v>
      </x:c>
    </x:row>
    <x:row r="20">
      <x:c r="A20" t="str">
        <x:v>A005</x:v>
      </x:c>
      <x:c r="B20" t="str">
        <x:v>SP-A005-Core</x:v>
      </x:c>
      <x:c r="C20" t="str">
        <x:v>广泛</x:v>
      </x:c>
      <x:c r="D20" t="str">
        <x:v>phone stand</x:v>
      </x:c>
      <x:c r="E20" t="str">
        <x:v>cheap electronics</x:v>
      </x:c>
      <x:c r="F20" t="n">
        <x:v>8160</x:v>
      </x:c>
      <x:c r="G20" t="n">
        <x:v>36</x:v>
      </x:c>
      <x:c r="H20" s="8" t="n">
        <x:v>35.64</x:v>
      </x:c>
      <x:c r="I20" t="n">
        <x:v>0</x:v>
      </x:c>
      <x:c r="J20" s="6" t="n">
        <x:v>0</x:v>
      </x:c>
      <x:c r="K20" s="9" t="n">
        <x:f>IFERROR(G20/F20,0)</x:f>
        <x:v>0.004411764705882353</x:v>
      </x:c>
      <x:c r="L20" s="9" t="n">
        <x:f>IFERROR(I20/G20,0)</x:f>
        <x:v>0</x:v>
      </x:c>
      <x:c r="M20" s="10" t="n">
        <x:f>IFERROR(H20/G20,0)</x:f>
        <x:v>0.99</x:v>
      </x:c>
      <x:c r="N20" s="7" t="n">
        <x:f>IFERROR(H20/J20,0)</x:f>
        <x:v>0</x:v>
      </x:c>
      <x:c r="O20" t="str">
        <x:f>IF(I20=0,IF(H20&gt;=15,"P0 · 否定或暂停","P2 · 继续观察"),IF(N20&gt;45%,"P1 · 降低竞价",IF(AND(I20&gt;=3,N20&lt;=25%),"P1 · 精准扩量","观察")))</x:f>
        <x:v>P0 · 否定或暂停</x:v>
      </x:c>
    </x:row>
    <x:row r="21">
      <x:c r="A21" t="str">
        <x:v>A005</x:v>
      </x:c>
      <x:c r="B21" t="str">
        <x:v>SP-A005-Core</x:v>
      </x:c>
      <x:c r="C21" t="str">
        <x:v>自动</x:v>
      </x:c>
      <x:c r="D21" t="str">
        <x:v>phone stand</x:v>
      </x:c>
      <x:c r="E21" t="str">
        <x:v>phone stand accessory</x:v>
      </x:c>
      <x:c r="F21" t="n">
        <x:v>6872</x:v>
      </x:c>
      <x:c r="G21" t="n">
        <x:v>25</x:v>
      </x:c>
      <x:c r="H21" s="8" t="n">
        <x:v>27.75</x:v>
      </x:c>
      <x:c r="I21" t="n">
        <x:v>1</x:v>
      </x:c>
      <x:c r="J21" s="6" t="n">
        <x:v>12.99</x:v>
      </x:c>
      <x:c r="K21" s="9" t="n">
        <x:f>IFERROR(G21/F21,0)</x:f>
        <x:v>0.003637951105937136</x:v>
      </x:c>
      <x:c r="L21" s="9" t="n">
        <x:f>IFERROR(I21/G21,0)</x:f>
        <x:v>0.04</x:v>
      </x:c>
      <x:c r="M21" s="10" t="n">
        <x:f>IFERROR(H21/G21,0)</x:f>
        <x:v>1.11</x:v>
      </x:c>
      <x:c r="N21" s="7" t="n">
        <x:f>IFERROR(H21/J21,0)</x:f>
        <x:v>2.136258660508083</x:v>
      </x:c>
      <x:c r="O21" t="str">
        <x:f>IF(I21=0,IF(H21&gt;=15,"P0 · 否定或暂停","P2 · 继续观察"),IF(N21&gt;45%,"P1 · 降低竞价",IF(AND(I21&gt;=3,N21&lt;=25%),"P1 · 精准扩量","观察")))</x:f>
        <x:v>P1 · 降低竞价</x:v>
      </x:c>
    </x:row>
    <x:row r="22">
      <x:c r="A22" t="str">
        <x:v>A006</x:v>
      </x:c>
      <x:c r="B22" t="str">
        <x:v>SP-A006-Core</x:v>
      </x:c>
      <x:c r="C22" t="str">
        <x:v>精准</x:v>
      </x:c>
      <x:c r="D22" t="str">
        <x:v>insulated water bottle</x:v>
      </x:c>
      <x:c r="E22" t="str">
        <x:v>insulated water bottle</x:v>
      </x:c>
      <x:c r="F22" t="n">
        <x:v>11849</x:v>
      </x:c>
      <x:c r="G22" t="n">
        <x:v>71</x:v>
      </x:c>
      <x:c r="H22" s="8" t="n">
        <x:v>53.25</x:v>
      </x:c>
      <x:c r="I22" t="n">
        <x:v>9</x:v>
      </x:c>
      <x:c r="J22" s="6" t="n">
        <x:v>206.91</x:v>
      </x:c>
      <x:c r="K22" s="9" t="n">
        <x:f>IFERROR(G22/F22,0)</x:f>
        <x:v>0.005992066841083636</x:v>
      </x:c>
      <x:c r="L22" s="9" t="n">
        <x:f>IFERROR(I22/G22,0)</x:f>
        <x:v>0.1267605633802817</x:v>
      </x:c>
      <x:c r="M22" s="10" t="n">
        <x:f>IFERROR(H22/G22,0)</x:f>
        <x:v>0.75</x:v>
      </x:c>
      <x:c r="N22" s="7" t="n">
        <x:f>IFERROR(H22/J22,0)</x:f>
        <x:v>0.2573582717123387</x:v>
      </x:c>
      <x:c r="O22" t="str">
        <x:f>IF(I22=0,IF(H22&gt;=15,"P0 · 否定或暂停","P2 · 继续观察"),IF(N22&gt;45%,"P1 · 降低竞价",IF(AND(I22&gt;=3,N22&lt;=25%),"P1 · 精准扩量","观察")))</x:f>
        <x:v>观察</x:v>
      </x:c>
    </x:row>
    <x:row r="23">
      <x:c r="A23" t="str">
        <x:v>A006</x:v>
      </x:c>
      <x:c r="B23" t="str">
        <x:v>SP-A006-Core</x:v>
      </x:c>
      <x:c r="C23" t="str">
        <x:v>词组</x:v>
      </x:c>
      <x:c r="D23" t="str">
        <x:v>insulated water bottle</x:v>
      </x:c>
      <x:c r="E23" t="str">
        <x:v>best insulated water bottle</x:v>
      </x:c>
      <x:c r="F23" t="n">
        <x:v>10051</x:v>
      </x:c>
      <x:c r="G23" t="n">
        <x:v>52</x:v>
      </x:c>
      <x:c r="H23" s="8" t="n">
        <x:v>45.24</x:v>
      </x:c>
      <x:c r="I23" t="n">
        <x:v>4</x:v>
      </x:c>
      <x:c r="J23" s="6" t="n">
        <x:v>91.96</x:v>
      </x:c>
      <x:c r="K23" s="9" t="n">
        <x:f>IFERROR(G23/F23,0)</x:f>
        <x:v>0.005173614565714854</x:v>
      </x:c>
      <x:c r="L23" s="9" t="n">
        <x:f>IFERROR(I23/G23,0)</x:f>
        <x:v>0.07692307692307693</x:v>
      </x:c>
      <x:c r="M23" s="10" t="n">
        <x:f>IFERROR(H23/G23,0)</x:f>
        <x:v>0.87</x:v>
      </x:c>
      <x:c r="N23" s="7" t="n">
        <x:f>IFERROR(H23/J23,0)</x:f>
        <x:v>0.4919530230535016</x:v>
      </x:c>
      <x:c r="O23" t="str">
        <x:f>IF(I23=0,IF(H23&gt;=15,"P0 · 否定或暂停","P2 · 继续观察"),IF(N23&gt;45%,"P1 · 降低竞价",IF(AND(I23&gt;=3,N23&lt;=25%),"P1 · 精准扩量","观察")))</x:f>
        <x:v>P1 · 降低竞价</x:v>
      </x:c>
    </x:row>
    <x:row r="24">
      <x:c r="A24" t="str">
        <x:v>A006</x:v>
      </x:c>
      <x:c r="B24" t="str">
        <x:v>SP-A006-Core</x:v>
      </x:c>
      <x:c r="C24" t="str">
        <x:v>广泛</x:v>
      </x:c>
      <x:c r="D24" t="str">
        <x:v>insulated water bottle</x:v>
      </x:c>
      <x:c r="E24" t="str">
        <x:v>cheap outdoor</x:v>
      </x:c>
      <x:c r="F24" t="n">
        <x:v>8419</x:v>
      </x:c>
      <x:c r="G24" t="n">
        <x:v>37</x:v>
      </x:c>
      <x:c r="H24" s="8" t="n">
        <x:v>36.63</x:v>
      </x:c>
      <x:c r="I24" t="n">
        <x:v>0</x:v>
      </x:c>
      <x:c r="J24" s="6" t="n">
        <x:v>0</x:v>
      </x:c>
      <x:c r="K24" s="9" t="n">
        <x:f>IFERROR(G24/F24,0)</x:f>
        <x:v>0.004394821237676684</x:v>
      </x:c>
      <x:c r="L24" s="9" t="n">
        <x:f>IFERROR(I24/G24,0)</x:f>
        <x:v>0</x:v>
      </x:c>
      <x:c r="M24" s="10" t="n">
        <x:f>IFERROR(H24/G24,0)</x:f>
        <x:v>0.9900000000000001</x:v>
      </x:c>
      <x:c r="N24" s="7" t="n">
        <x:f>IFERROR(H24/J24,0)</x:f>
        <x:v>0</x:v>
      </x:c>
      <x:c r="O24" t="str">
        <x:f>IF(I24=0,IF(H24&gt;=15,"P0 · 否定或暂停","P2 · 继续观察"),IF(N24&gt;45%,"P1 · 降低竞价",IF(AND(I24&gt;=3,N24&lt;=25%),"P1 · 精准扩量","观察")))</x:f>
        <x:v>P0 · 否定或暂停</x:v>
      </x:c>
    </x:row>
    <x:row r="25">
      <x:c r="A25" t="str">
        <x:v>A006</x:v>
      </x:c>
      <x:c r="B25" t="str">
        <x:v>SP-A006-Core</x:v>
      </x:c>
      <x:c r="C25" t="str">
        <x:v>自动</x:v>
      </x:c>
      <x:c r="D25" t="str">
        <x:v>insulated water bottle</x:v>
      </x:c>
      <x:c r="E25" t="str">
        <x:v>insulated water bottle accessory</x:v>
      </x:c>
      <x:c r="F25" t="n">
        <x:v>6419</x:v>
      </x:c>
      <x:c r="G25" t="n">
        <x:v>23</x:v>
      </x:c>
      <x:c r="H25" s="8" t="n">
        <x:v>25.53</x:v>
      </x:c>
      <x:c r="I25" t="n">
        <x:v>1</x:v>
      </x:c>
      <x:c r="J25" s="6" t="n">
        <x:v>22.99</x:v>
      </x:c>
      <x:c r="K25" s="9" t="n">
        <x:f>IFERROR(G25/F25,0)</x:f>
        <x:v>0.003583112634366724</x:v>
      </x:c>
      <x:c r="L25" s="9" t="n">
        <x:f>IFERROR(I25/G25,0)</x:f>
        <x:v>0.043478260869565216</x:v>
      </x:c>
      <x:c r="M25" s="10" t="n">
        <x:f>IFERROR(H25/G25,0)</x:f>
        <x:v>1.11</x:v>
      </x:c>
      <x:c r="N25" s="7" t="n">
        <x:f>IFERROR(H25/J25,0)</x:f>
        <x:v>1.11048281861679</x:v>
      </x:c>
      <x:c r="O25" t="str">
        <x:f>IF(I25=0,IF(H25&gt;=15,"P0 · 否定或暂停","P2 · 继续观察"),IF(N25&gt;45%,"P1 · 降低竞价",IF(AND(I25&gt;=3,N25&lt;=25%),"P1 · 精准扩量","观察")))</x:f>
        <x:v>P1 · 降低竞价</x:v>
      </x:c>
    </x:row>
    <x:row r="26">
      <x:c r="A26" t="str">
        <x:v>A007</x:v>
      </x:c>
      <x:c r="B26" t="str">
        <x:v>SP-A007-Core</x:v>
      </x:c>
      <x:c r="C26" t="str">
        <x:v>精准</x:v>
      </x:c>
      <x:c r="D26" t="str">
        <x:v>desk organizer</x:v>
      </x:c>
      <x:c r="E26" t="str">
        <x:v>desk organizer</x:v>
      </x:c>
      <x:c r="F26" t="n">
        <x:v>11637</x:v>
      </x:c>
      <x:c r="G26" t="n">
        <x:v>70</x:v>
      </x:c>
      <x:c r="H26" s="8" t="n">
        <x:v>52.5</x:v>
      </x:c>
      <x:c r="I26" t="n">
        <x:v>8</x:v>
      </x:c>
      <x:c r="J26" s="6" t="n">
        <x:v>135.92</x:v>
      </x:c>
      <x:c r="K26" s="9" t="n">
        <x:f>IFERROR(G26/F26,0)</x:f>
        <x:v>0.006015296038497895</x:v>
      </x:c>
      <x:c r="L26" s="9" t="n">
        <x:f>IFERROR(I26/G26,0)</x:f>
        <x:v>0.11428571428571428</x:v>
      </x:c>
      <x:c r="M26" s="10" t="n">
        <x:f>IFERROR(H26/G26,0)</x:f>
        <x:v>0.75</x:v>
      </x:c>
      <x:c r="N26" s="7" t="n">
        <x:f>IFERROR(H26/J26,0)</x:f>
        <x:v>0.3862566215420836</x:v>
      </x:c>
      <x:c r="O26" t="str">
        <x:f>IF(I26=0,IF(H26&gt;=15,"P0 · 否定或暂停","P2 · 继续观察"),IF(N26&gt;45%,"P1 · 降低竞价",IF(AND(I26&gt;=3,N26&lt;=25%),"P1 · 精准扩量","观察")))</x:f>
        <x:v>观察</x:v>
      </x:c>
    </x:row>
    <x:row r="27">
      <x:c r="A27" t="str">
        <x:v>A007</x:v>
      </x:c>
      <x:c r="B27" t="str">
        <x:v>SP-A007-Core</x:v>
      </x:c>
      <x:c r="C27" t="str">
        <x:v>词组</x:v>
      </x:c>
      <x:c r="D27" t="str">
        <x:v>desk organizer</x:v>
      </x:c>
      <x:c r="E27" t="str">
        <x:v>best desk organizer</x:v>
      </x:c>
      <x:c r="F27" t="n">
        <x:v>10249</x:v>
      </x:c>
      <x:c r="G27" t="n">
        <x:v>53</x:v>
      </x:c>
      <x:c r="H27" s="8" t="n">
        <x:v>46.11</x:v>
      </x:c>
      <x:c r="I27" t="n">
        <x:v>4</x:v>
      </x:c>
      <x:c r="J27" s="6" t="n">
        <x:v>67.96</x:v>
      </x:c>
      <x:c r="K27" s="9" t="n">
        <x:f>IFERROR(G27/F27,0)</x:f>
        <x:v>0.005171236218167626</x:v>
      </x:c>
      <x:c r="L27" s="9" t="n">
        <x:f>IFERROR(I27/G27,0)</x:f>
        <x:v>0.07547169811320754</x:v>
      </x:c>
      <x:c r="M27" s="10" t="n">
        <x:f>IFERROR(H27/G27,0)</x:f>
        <x:v>0.87</x:v>
      </x:c>
      <x:c r="N27" s="7" t="n">
        <x:f>IFERROR(H27/J27,0)</x:f>
        <x:v>0.6784873454973515</x:v>
      </x:c>
      <x:c r="O27" t="str">
        <x:f>IF(I27=0,IF(H27&gt;=15,"P0 · 否定或暂停","P2 · 继续观察"),IF(N27&gt;45%,"P1 · 降低竞价",IF(AND(I27&gt;=3,N27&lt;=25%),"P1 · 精准扩量","观察")))</x:f>
        <x:v>P1 · 降低竞价</x:v>
      </x:c>
    </x:row>
    <x:row r="28">
      <x:c r="A28" t="str">
        <x:v>A007</x:v>
      </x:c>
      <x:c r="B28" t="str">
        <x:v>SP-A007-Core</x:v>
      </x:c>
      <x:c r="C28" t="str">
        <x:v>广泛</x:v>
      </x:c>
      <x:c r="D28" t="str">
        <x:v>desk organizer</x:v>
      </x:c>
      <x:c r="E28" t="str">
        <x:v>cheap office</x:v>
      </x:c>
      <x:c r="F28" t="n">
        <x:v>8522</x:v>
      </x:c>
      <x:c r="G28" t="n">
        <x:v>37</x:v>
      </x:c>
      <x:c r="H28" s="8" t="n">
        <x:v>36.63</x:v>
      </x:c>
      <x:c r="I28" t="n">
        <x:v>0</x:v>
      </x:c>
      <x:c r="J28" s="6" t="n">
        <x:v>0</x:v>
      </x:c>
      <x:c r="K28" s="9" t="n">
        <x:f>IFERROR(G28/F28,0)</x:f>
        <x:v>0.0043417038253931</x:v>
      </x:c>
      <x:c r="L28" s="9" t="n">
        <x:f>IFERROR(I28/G28,0)</x:f>
        <x:v>0</x:v>
      </x:c>
      <x:c r="M28" s="10" t="n">
        <x:f>IFERROR(H28/G28,0)</x:f>
        <x:v>0.9900000000000001</x:v>
      </x:c>
      <x:c r="N28" s="7" t="n">
        <x:f>IFERROR(H28/J28,0)</x:f>
        <x:v>0</x:v>
      </x:c>
      <x:c r="O28" t="str">
        <x:f>IF(I28=0,IF(H28&gt;=15,"P0 · 否定或暂停","P2 · 继续观察"),IF(N28&gt;45%,"P1 · 降低竞价",IF(AND(I28&gt;=3,N28&lt;=25%),"P1 · 精准扩量","观察")))</x:f>
        <x:v>P0 · 否定或暂停</x:v>
      </x:c>
    </x:row>
    <x:row r="29">
      <x:c r="A29" t="str">
        <x:v>A007</x:v>
      </x:c>
      <x:c r="B29" t="str">
        <x:v>SP-A007-Core</x:v>
      </x:c>
      <x:c r="C29" t="str">
        <x:v>自动</x:v>
      </x:c>
      <x:c r="D29" t="str">
        <x:v>desk organizer</x:v>
      </x:c>
      <x:c r="E29" t="str">
        <x:v>desk organizer accessory</x:v>
      </x:c>
      <x:c r="F29" t="n">
        <x:v>7091</x:v>
      </x:c>
      <x:c r="G29" t="n">
        <x:v>26</x:v>
      </x:c>
      <x:c r="H29" s="8" t="n">
        <x:v>28.86</x:v>
      </x:c>
      <x:c r="I29" t="n">
        <x:v>1</x:v>
      </x:c>
      <x:c r="J29" s="6" t="n">
        <x:v>16.99</x:v>
      </x:c>
      <x:c r="K29" s="9" t="n">
        <x:f>IFERROR(G29/F29,0)</x:f>
        <x:v>0.003666619658722324</x:v>
      </x:c>
      <x:c r="L29" s="9" t="n">
        <x:f>IFERROR(I29/G29,0)</x:f>
        <x:v>0.038461538461538464</x:v>
      </x:c>
      <x:c r="M29" s="10" t="n">
        <x:f>IFERROR(H29/G29,0)</x:f>
        <x:v>1.1099999999999999</x:v>
      </x:c>
      <x:c r="N29" s="7" t="n">
        <x:f>IFERROR(H29/J29,0)</x:f>
        <x:v>1.6986462625073573</x:v>
      </x:c>
      <x:c r="O29" t="str">
        <x:f>IF(I29=0,IF(H29&gt;=15,"P0 · 否定或暂停","P2 · 继续观察"),IF(N29&gt;45%,"P1 · 降低竞价",IF(AND(I29&gt;=3,N29&lt;=25%),"P1 · 精准扩量","观察")))</x:f>
        <x:v>P1 · 降低竞价</x:v>
      </x:c>
    </x:row>
    <x:row r="30">
      <x:c r="A30" t="str">
        <x:v>A008</x:v>
      </x:c>
      <x:c r="B30" t="str">
        <x:v>SP-A008-Core</x:v>
      </x:c>
      <x:c r="C30" t="str">
        <x:v>精准</x:v>
      </x:c>
      <x:c r="D30" t="str">
        <x:v>wireless charger</x:v>
      </x:c>
      <x:c r="E30" t="str">
        <x:v>wireless charger</x:v>
      </x:c>
      <x:c r="F30" t="n">
        <x:v>11867</x:v>
      </x:c>
      <x:c r="G30" t="n">
        <x:v>71</x:v>
      </x:c>
      <x:c r="H30" s="8" t="n">
        <x:v>53.25</x:v>
      </x:c>
      <x:c r="I30" t="n">
        <x:v>9</x:v>
      </x:c>
      <x:c r="J30" s="6" t="n">
        <x:v>269.91</x:v>
      </x:c>
      <x:c r="K30" s="9" t="n">
        <x:f>IFERROR(G30/F30,0)</x:f>
        <x:v>0.00598297800623578</x:v>
      </x:c>
      <x:c r="L30" s="9" t="n">
        <x:f>IFERROR(I30/G30,0)</x:f>
        <x:v>0.1267605633802817</x:v>
      </x:c>
      <x:c r="M30" s="10" t="n">
        <x:f>IFERROR(H30/G30,0)</x:f>
        <x:v>0.75</x:v>
      </x:c>
      <x:c r="N30" s="7" t="n">
        <x:f>IFERROR(H30/J30,0)</x:f>
        <x:v>0.19728798488385016</x:v>
      </x:c>
      <x:c r="O30" t="str">
        <x:f>IF(I30=0,IF(H30&gt;=15,"P0 · 否定或暂停","P2 · 继续观察"),IF(N30&gt;45%,"P1 · 降低竞价",IF(AND(I30&gt;=3,N30&lt;=25%),"P1 · 精准扩量","观察")))</x:f>
        <x:v>P1 · 精准扩量</x:v>
      </x:c>
    </x:row>
    <x:row r="31">
      <x:c r="A31" t="str">
        <x:v>A008</x:v>
      </x:c>
      <x:c r="B31" t="str">
        <x:v>SP-A008-Core</x:v>
      </x:c>
      <x:c r="C31" t="str">
        <x:v>词组</x:v>
      </x:c>
      <x:c r="D31" t="str">
        <x:v>wireless charger</x:v>
      </x:c>
      <x:c r="E31" t="str">
        <x:v>best wireless charger</x:v>
      </x:c>
      <x:c r="F31" t="n">
        <x:v>9919</x:v>
      </x:c>
      <x:c r="G31" t="n">
        <x:v>52</x:v>
      </x:c>
      <x:c r="H31" s="8" t="n">
        <x:v>45.24</x:v>
      </x:c>
      <x:c r="I31" t="n">
        <x:v>4</x:v>
      </x:c>
      <x:c r="J31" s="6" t="n">
        <x:v>119.96</x:v>
      </x:c>
      <x:c r="K31" s="9" t="n">
        <x:f>IFERROR(G31/F31,0)</x:f>
        <x:v>0.005242463958060288</x:v>
      </x:c>
      <x:c r="L31" s="9" t="n">
        <x:f>IFERROR(I31/G31,0)</x:f>
        <x:v>0.07692307692307693</x:v>
      </x:c>
      <x:c r="M31" s="10" t="n">
        <x:f>IFERROR(H31/G31,0)</x:f>
        <x:v>0.87</x:v>
      </x:c>
      <x:c r="N31" s="7" t="n">
        <x:f>IFERROR(H31/J31,0)</x:f>
        <x:v>0.3771257085695232</x:v>
      </x:c>
      <x:c r="O31" t="str">
        <x:f>IF(I31=0,IF(H31&gt;=15,"P0 · 否定或暂停","P2 · 继续观察"),IF(N31&gt;45%,"P1 · 降低竞价",IF(AND(I31&gt;=3,N31&lt;=25%),"P1 · 精准扩量","观察")))</x:f>
        <x:v>观察</x:v>
      </x:c>
    </x:row>
    <x:row r="32">
      <x:c r="A32" t="str">
        <x:v>A008</x:v>
      </x:c>
      <x:c r="B32" t="str">
        <x:v>SP-A008-Core</x:v>
      </x:c>
      <x:c r="C32" t="str">
        <x:v>广泛</x:v>
      </x:c>
      <x:c r="D32" t="str">
        <x:v>wireless charger</x:v>
      </x:c>
      <x:c r="E32" t="str">
        <x:v>cheap electronics</x:v>
      </x:c>
      <x:c r="F32" t="n">
        <x:v>8236</x:v>
      </x:c>
      <x:c r="G32" t="n">
        <x:v>36</x:v>
      </x:c>
      <x:c r="H32" s="8" t="n">
        <x:v>35.64</x:v>
      </x:c>
      <x:c r="I32" t="n">
        <x:v>0</x:v>
      </x:c>
      <x:c r="J32" s="6" t="n">
        <x:v>0</x:v>
      </x:c>
      <x:c r="K32" s="9" t="n">
        <x:f>IFERROR(G32/F32,0)</x:f>
        <x:v>0.004371053909664886</x:v>
      </x:c>
      <x:c r="L32" s="9" t="n">
        <x:f>IFERROR(I32/G32,0)</x:f>
        <x:v>0</x:v>
      </x:c>
      <x:c r="M32" s="10" t="n">
        <x:f>IFERROR(H32/G32,0)</x:f>
        <x:v>0.99</x:v>
      </x:c>
      <x:c r="N32" s="7" t="n">
        <x:f>IFERROR(H32/J32,0)</x:f>
        <x:v>0</x:v>
      </x:c>
      <x:c r="O32" t="str">
        <x:f>IF(I32=0,IF(H32&gt;=15,"P0 · 否定或暂停","P2 · 继续观察"),IF(N32&gt;45%,"P1 · 降低竞价",IF(AND(I32&gt;=3,N32&lt;=25%),"P1 · 精准扩量","观察")))</x:f>
        <x:v>P0 · 否定或暂停</x:v>
      </x:c>
    </x:row>
    <x:row r="33">
      <x:c r="A33" t="str">
        <x:v>A008</x:v>
      </x:c>
      <x:c r="B33" t="str">
        <x:v>SP-A008-Core</x:v>
      </x:c>
      <x:c r="C33" t="str">
        <x:v>自动</x:v>
      </x:c>
      <x:c r="D33" t="str">
        <x:v>wireless charger</x:v>
      </x:c>
      <x:c r="E33" t="str">
        <x:v>wireless charger accessory</x:v>
      </x:c>
      <x:c r="F33" t="n">
        <x:v>6322</x:v>
      </x:c>
      <x:c r="G33" t="n">
        <x:v>23</x:v>
      </x:c>
      <x:c r="H33" s="8" t="n">
        <x:v>25.53</x:v>
      </x:c>
      <x:c r="I33" t="n">
        <x:v>1</x:v>
      </x:c>
      <x:c r="J33" s="6" t="n">
        <x:v>29.99</x:v>
      </x:c>
      <x:c r="K33" s="9" t="n">
        <x:f>IFERROR(G33/F33,0)</x:f>
        <x:v>0.0036380892122745965</x:v>
      </x:c>
      <x:c r="L33" s="9" t="n">
        <x:f>IFERROR(I33/G33,0)</x:f>
        <x:v>0.043478260869565216</x:v>
      </x:c>
      <x:c r="M33" s="10" t="n">
        <x:f>IFERROR(H33/G33,0)</x:f>
        <x:v>1.11</x:v>
      </x:c>
      <x:c r="N33" s="7" t="n">
        <x:f>IFERROR(H33/J33,0)</x:f>
        <x:v>0.8512837612537514</x:v>
      </x:c>
      <x:c r="O33" t="str">
        <x:f>IF(I33=0,IF(H33&gt;=15,"P0 · 否定或暂停","P2 · 继续观察"),IF(N33&gt;45%,"P1 · 降低竞价",IF(AND(I33&gt;=3,N33&lt;=25%),"P1 · 精准扩量","观察")))</x:f>
        <x:v>P1 · 降低竞价</x:v>
      </x:c>
    </x:row>
    <x:row r="34">
      <x:c r="A34" t="str">
        <x:v>A009</x:v>
      </x:c>
      <x:c r="B34" t="str">
        <x:v>SP-A009-Core</x:v>
      </x:c>
      <x:c r="C34" t="str">
        <x:v>精准</x:v>
      </x:c>
      <x:c r="D34" t="str">
        <x:v>air fryer liners</x:v>
      </x:c>
      <x:c r="E34" t="str">
        <x:v>air fryer liners</x:v>
      </x:c>
      <x:c r="F34" t="n">
        <x:v>12147</x:v>
      </x:c>
      <x:c r="G34" t="n">
        <x:v>73</x:v>
      </x:c>
      <x:c r="H34" s="8" t="n">
        <x:v>54.75</x:v>
      </x:c>
      <x:c r="I34" t="n">
        <x:v>9</x:v>
      </x:c>
      <x:c r="J34" s="6" t="n">
        <x:v>107.91</x:v>
      </x:c>
      <x:c r="K34" s="9" t="n">
        <x:f>IFERROR(G34/F34,0)</x:f>
        <x:v>0.006009714332757059</x:v>
      </x:c>
      <x:c r="L34" s="9" t="n">
        <x:f>IFERROR(I34/G34,0)</x:f>
        <x:v>0.1232876712328767</x:v>
      </x:c>
      <x:c r="M34" s="10" t="n">
        <x:f>IFERROR(H34/G34,0)</x:f>
        <x:v>0.75</x:v>
      </x:c>
      <x:c r="N34" s="7" t="n">
        <x:f>IFERROR(H34/J34,0)</x:f>
        <x:v>0.5073672504865165</x:v>
      </x:c>
      <x:c r="O34" t="str">
        <x:f>IF(I34=0,IF(H34&gt;=15,"P0 · 否定或暂停","P2 · 继续观察"),IF(N34&gt;45%,"P1 · 降低竞价",IF(AND(I34&gt;=3,N34&lt;=25%),"P1 · 精准扩量","观察")))</x:f>
        <x:v>P1 · 降低竞价</x:v>
      </x:c>
    </x:row>
    <x:row r="35">
      <x:c r="A35" t="str">
        <x:v>A009</x:v>
      </x:c>
      <x:c r="B35" t="str">
        <x:v>SP-A009-Core</x:v>
      </x:c>
      <x:c r="C35" t="str">
        <x:v>词组</x:v>
      </x:c>
      <x:c r="D35" t="str">
        <x:v>air fryer liners</x:v>
      </x:c>
      <x:c r="E35" t="str">
        <x:v>best air fryer liners</x:v>
      </x:c>
      <x:c r="F35" t="n">
        <x:v>10467</x:v>
      </x:c>
      <x:c r="G35" t="n">
        <x:v>54</x:v>
      </x:c>
      <x:c r="H35" s="8" t="n">
        <x:v>46.98</x:v>
      </x:c>
      <x:c r="I35" t="n">
        <x:v>4</x:v>
      </x:c>
      <x:c r="J35" s="6" t="n">
        <x:v>47.96</x:v>
      </x:c>
      <x:c r="K35" s="9" t="n">
        <x:f>IFERROR(G35/F35,0)</x:f>
        <x:v>0.005159071367153913</x:v>
      </x:c>
      <x:c r="L35" s="9" t="n">
        <x:f>IFERROR(I35/G35,0)</x:f>
        <x:v>0.07407407407407407</x:v>
      </x:c>
      <x:c r="M35" s="10" t="n">
        <x:f>IFERROR(H35/G35,0)</x:f>
        <x:v>0.87</x:v>
      </x:c>
      <x:c r="N35" s="7" t="n">
        <x:f>IFERROR(H35/J35,0)</x:f>
        <x:v>0.9795663052543786</x:v>
      </x:c>
      <x:c r="O35" t="str">
        <x:f>IF(I35=0,IF(H35&gt;=15,"P0 · 否定或暂停","P2 · 继续观察"),IF(N35&gt;45%,"P1 · 降低竞价",IF(AND(I35&gt;=3,N35&lt;=25%),"P1 · 精准扩量","观察")))</x:f>
        <x:v>P1 · 降低竞价</x:v>
      </x:c>
    </x:row>
    <x:row r="36">
      <x:c r="A36" t="str">
        <x:v>A009</x:v>
      </x:c>
      <x:c r="B36" t="str">
        <x:v>SP-A009-Core</x:v>
      </x:c>
      <x:c r="C36" t="str">
        <x:v>广泛</x:v>
      </x:c>
      <x:c r="D36" t="str">
        <x:v>air fryer liners</x:v>
      </x:c>
      <x:c r="E36" t="str">
        <x:v>cheap kitchen</x:v>
      </x:c>
      <x:c r="F36" t="n">
        <x:v>8259</x:v>
      </x:c>
      <x:c r="G36" t="n">
        <x:v>36</x:v>
      </x:c>
      <x:c r="H36" s="8" t="n">
        <x:v>35.64</x:v>
      </x:c>
      <x:c r="I36" t="n">
        <x:v>0</x:v>
      </x:c>
      <x:c r="J36" s="6" t="n">
        <x:v>0</x:v>
      </x:c>
      <x:c r="K36" s="9" t="n">
        <x:f>IFERROR(G36/F36,0)</x:f>
        <x:v>0.004358881220486742</x:v>
      </x:c>
      <x:c r="L36" s="9" t="n">
        <x:f>IFERROR(I36/G36,0)</x:f>
        <x:v>0</x:v>
      </x:c>
      <x:c r="M36" s="10" t="n">
        <x:f>IFERROR(H36/G36,0)</x:f>
        <x:v>0.99</x:v>
      </x:c>
      <x:c r="N36" s="7" t="n">
        <x:f>IFERROR(H36/J36,0)</x:f>
        <x:v>0</x:v>
      </x:c>
      <x:c r="O36" t="str">
        <x:f>IF(I36=0,IF(H36&gt;=15,"P0 · 否定或暂停","P2 · 继续观察"),IF(N36&gt;45%,"P1 · 降低竞价",IF(AND(I36&gt;=3,N36&lt;=25%),"P1 · 精准扩量","观察")))</x:f>
        <x:v>P0 · 否定或暂停</x:v>
      </x:c>
    </x:row>
    <x:row r="37">
      <x:c r="A37" t="str">
        <x:v>A009</x:v>
      </x:c>
      <x:c r="B37" t="str">
        <x:v>SP-A009-Core</x:v>
      </x:c>
      <x:c r="C37" t="str">
        <x:v>自动</x:v>
      </x:c>
      <x:c r="D37" t="str">
        <x:v>air fryer liners</x:v>
      </x:c>
      <x:c r="E37" t="str">
        <x:v>air fryer liners accessory</x:v>
      </x:c>
      <x:c r="F37" t="n">
        <x:v>7020</x:v>
      </x:c>
      <x:c r="G37" t="n">
        <x:v>25</x:v>
      </x:c>
      <x:c r="H37" s="8" t="n">
        <x:v>27.75</x:v>
      </x:c>
      <x:c r="I37" t="n">
        <x:v>1</x:v>
      </x:c>
      <x:c r="J37" s="6" t="n">
        <x:v>11.99</x:v>
      </x:c>
      <x:c r="K37" s="9" t="n">
        <x:f>IFERROR(G37/F37,0)</x:f>
        <x:v>0.0035612535612535613</x:v>
      </x:c>
      <x:c r="L37" s="9" t="n">
        <x:f>IFERROR(I37/G37,0)</x:f>
        <x:v>0.04</x:v>
      </x:c>
      <x:c r="M37" s="10" t="n">
        <x:f>IFERROR(H37/G37,0)</x:f>
        <x:v>1.11</x:v>
      </x:c>
      <x:c r="N37" s="7" t="n">
        <x:f>IFERROR(H37/J37,0)</x:f>
        <x:v>2.3144286905754794</x:v>
      </x:c>
      <x:c r="O37" t="str">
        <x:f>IF(I37=0,IF(H37&gt;=15,"P0 · 否定或暂停","P2 · 继续观察"),IF(N37&gt;45%,"P1 · 降低竞价",IF(AND(I37&gt;=3,N37&lt;=25%),"P1 · 精准扩量","观察")))</x:f>
        <x:v>P1 · 降低竞价</x:v>
      </x:c>
    </x:row>
    <x:row r="38">
      <x:c r="A38" t="str">
        <x:v>A010</x:v>
      </x:c>
      <x:c r="B38" t="str">
        <x:v>SP-A010-Core</x:v>
      </x:c>
      <x:c r="C38" t="str">
        <x:v>精准</x:v>
      </x:c>
      <x:c r="D38" t="str">
        <x:v>resistance bands</x:v>
      </x:c>
      <x:c r="E38" t="str">
        <x:v>resistance bands</x:v>
      </x:c>
      <x:c r="F38" t="n">
        <x:v>11828</x:v>
      </x:c>
      <x:c r="G38" t="n">
        <x:v>71</x:v>
      </x:c>
      <x:c r="H38" s="8" t="n">
        <x:v>53.25</x:v>
      </x:c>
      <x:c r="I38" t="n">
        <x:v>9</x:v>
      </x:c>
      <x:c r="J38" s="6" t="n">
        <x:v>143.91</x:v>
      </x:c>
      <x:c r="K38" s="9" t="n">
        <x:f>IFERROR(G38/F38,0)</x:f>
        <x:v>0.006002705444707474</x:v>
      </x:c>
      <x:c r="L38" s="9" t="n">
        <x:f>IFERROR(I38/G38,0)</x:f>
        <x:v>0.1267605633802817</x:v>
      </x:c>
      <x:c r="M38" s="10" t="n">
        <x:f>IFERROR(H38/G38,0)</x:f>
        <x:v>0.75</x:v>
      </x:c>
      <x:c r="N38" s="7" t="n">
        <x:f>IFERROR(H38/J38,0)</x:f>
        <x:v>0.3700229309985408</x:v>
      </x:c>
      <x:c r="O38" t="str">
        <x:f>IF(I38=0,IF(H38&gt;=15,"P0 · 否定或暂停","P2 · 继续观察"),IF(N38&gt;45%,"P1 · 降低竞价",IF(AND(I38&gt;=3,N38&lt;=25%),"P1 · 精准扩量","观察")))</x:f>
        <x:v>观察</x:v>
      </x:c>
    </x:row>
    <x:row r="39">
      <x:c r="A39" t="str">
        <x:v>A010</x:v>
      </x:c>
      <x:c r="B39" t="str">
        <x:v>SP-A010-Core</x:v>
      </x:c>
      <x:c r="C39" t="str">
        <x:v>词组</x:v>
      </x:c>
      <x:c r="D39" t="str">
        <x:v>resistance bands</x:v>
      </x:c>
      <x:c r="E39" t="str">
        <x:v>best resistance bands</x:v>
      </x:c>
      <x:c r="F39" t="n">
        <x:v>10661</x:v>
      </x:c>
      <x:c r="G39" t="n">
        <x:v>55</x:v>
      </x:c>
      <x:c r="H39" s="8" t="n">
        <x:v>47.85</x:v>
      </x:c>
      <x:c r="I39" t="n">
        <x:v>4</x:v>
      </x:c>
      <x:c r="J39" s="6" t="n">
        <x:v>63.96</x:v>
      </x:c>
      <x:c r="K39" s="9" t="n">
        <x:f>IFERROR(G39/F39,0)</x:f>
        <x:v>0.005158990713816715</x:v>
      </x:c>
      <x:c r="L39" s="9" t="n">
        <x:f>IFERROR(I39/G39,0)</x:f>
        <x:v>0.07272727272727272</x:v>
      </x:c>
      <x:c r="M39" s="10" t="n">
        <x:f>IFERROR(H39/G39,0)</x:f>
        <x:v>0.87</x:v>
      </x:c>
      <x:c r="N39" s="7" t="n">
        <x:f>IFERROR(H39/J39,0)</x:f>
        <x:v>0.7481238273921201</x:v>
      </x:c>
      <x:c r="O39" t="str">
        <x:f>IF(I39=0,IF(H39&gt;=15,"P0 · 否定或暂停","P2 · 继续观察"),IF(N39&gt;45%,"P1 · 降低竞价",IF(AND(I39&gt;=3,N39&lt;=25%),"P1 · 精准扩量","观察")))</x:f>
        <x:v>P1 · 降低竞价</x:v>
      </x:c>
    </x:row>
    <x:row r="40">
      <x:c r="A40" t="str">
        <x:v>A010</x:v>
      </x:c>
      <x:c r="B40" t="str">
        <x:v>SP-A010-Core</x:v>
      </x:c>
      <x:c r="C40" t="str">
        <x:v>广泛</x:v>
      </x:c>
      <x:c r="D40" t="str">
        <x:v>resistance bands</x:v>
      </x:c>
      <x:c r="E40" t="str">
        <x:v>cheap sports</x:v>
      </x:c>
      <x:c r="F40" t="n">
        <x:v>8362</x:v>
      </x:c>
      <x:c r="G40" t="n">
        <x:v>37</x:v>
      </x:c>
      <x:c r="H40" s="8" t="n">
        <x:v>36.63</x:v>
      </x:c>
      <x:c r="I40" t="n">
        <x:v>0</x:v>
      </x:c>
      <x:c r="J40" s="6" t="n">
        <x:v>0</x:v>
      </x:c>
      <x:c r="K40" s="9" t="n">
        <x:f>IFERROR(G40/F40,0)</x:f>
        <x:v>0.004424778761061947</x:v>
      </x:c>
      <x:c r="L40" s="9" t="n">
        <x:f>IFERROR(I40/G40,0)</x:f>
        <x:v>0</x:v>
      </x:c>
      <x:c r="M40" s="10" t="n">
        <x:f>IFERROR(H40/G40,0)</x:f>
        <x:v>0.9900000000000001</x:v>
      </x:c>
      <x:c r="N40" s="7" t="n">
        <x:f>IFERROR(H40/J40,0)</x:f>
        <x:v>0</x:v>
      </x:c>
      <x:c r="O40" t="str">
        <x:f>IF(I40=0,IF(H40&gt;=15,"P0 · 否定或暂停","P2 · 继续观察"),IF(N40&gt;45%,"P1 · 降低竞价",IF(AND(I40&gt;=3,N40&lt;=25%),"P1 · 精准扩量","观察")))</x:f>
        <x:v>P0 · 否定或暂停</x:v>
      </x:c>
    </x:row>
    <x:row r="41">
      <x:c r="A41" t="str">
        <x:v>A010</x:v>
      </x:c>
      <x:c r="B41" t="str">
        <x:v>SP-A010-Core</x:v>
      </x:c>
      <x:c r="C41" t="str">
        <x:v>自动</x:v>
      </x:c>
      <x:c r="D41" t="str">
        <x:v>resistance bands</x:v>
      </x:c>
      <x:c r="E41" t="str">
        <x:v>resistance bands accessory</x:v>
      </x:c>
      <x:c r="F41" t="n">
        <x:v>7045</x:v>
      </x:c>
      <x:c r="G41" t="n">
        <x:v>25</x:v>
      </x:c>
      <x:c r="H41" s="8" t="n">
        <x:v>27.75</x:v>
      </x:c>
      <x:c r="I41" t="n">
        <x:v>1</x:v>
      </x:c>
      <x:c r="J41" s="6" t="n">
        <x:v>15.99</x:v>
      </x:c>
      <x:c r="K41" s="9" t="n">
        <x:f>IFERROR(G41/F41,0)</x:f>
        <x:v>0.0035486160397444995</x:v>
      </x:c>
      <x:c r="L41" s="9" t="n">
        <x:f>IFERROR(I41/G41,0)</x:f>
        <x:v>0.04</x:v>
      </x:c>
      <x:c r="M41" s="10" t="n">
        <x:f>IFERROR(H41/G41,0)</x:f>
        <x:v>1.11</x:v>
      </x:c>
      <x:c r="N41" s="7" t="n">
        <x:f>IFERROR(H41/J41,0)</x:f>
        <x:v>1.7354596622889304</x:v>
      </x:c>
      <x:c r="O41" t="str">
        <x:f>IF(I41=0,IF(H41&gt;=15,"P0 · 否定或暂停","P2 · 继续观察"),IF(N41&gt;45%,"P1 · 降低竞价",IF(AND(I41&gt;=3,N41&lt;=25%),"P1 · 精准扩量","观察")))</x:f>
        <x:v>P1 · 降低竞价</x:v>
      </x:c>
    </x:row>
    <x:row r="42">
      <x:c r="A42" t="str">
        <x:v>A011</x:v>
      </x:c>
      <x:c r="B42" t="str">
        <x:v>SP-A011-Core</x:v>
      </x:c>
      <x:c r="C42" t="str">
        <x:v>精准</x:v>
      </x:c>
      <x:c r="D42" t="str">
        <x:v>smart doorbell</x:v>
      </x:c>
      <x:c r="E42" t="str">
        <x:v>smart doorbell</x:v>
      </x:c>
      <x:c r="F42" t="n">
        <x:v>12462</x:v>
      </x:c>
      <x:c r="G42" t="n">
        <x:v>75</x:v>
      </x:c>
      <x:c r="H42" s="8" t="n">
        <x:v>56.25</x:v>
      </x:c>
      <x:c r="I42" t="n">
        <x:v>9</x:v>
      </x:c>
      <x:c r="J42" s="6" t="n">
        <x:v>539.91</x:v>
      </x:c>
      <x:c r="K42" s="9" t="n">
        <x:f>IFERROR(G42/F42,0)</x:f>
        <x:v>0.00601829561868079</x:v>
      </x:c>
      <x:c r="L42" s="9" t="n">
        <x:f>IFERROR(I42/G42,0)</x:f>
        <x:v>0.12</x:v>
      </x:c>
      <x:c r="M42" s="10" t="n">
        <x:f>IFERROR(H42/G42,0)</x:f>
        <x:v>0.75</x:v>
      </x:c>
      <x:c r="N42" s="7" t="n">
        <x:f>IFERROR(H42/J42,0)</x:f>
        <x:v>0.10418403067177863</x:v>
      </x:c>
      <x:c r="O42" t="str">
        <x:f>IF(I42=0,IF(H42&gt;=15,"P0 · 否定或暂停","P2 · 继续观察"),IF(N42&gt;45%,"P1 · 降低竞价",IF(AND(I42&gt;=3,N42&lt;=25%),"P1 · 精准扩量","观察")))</x:f>
        <x:v>P1 · 精准扩量</x:v>
      </x:c>
    </x:row>
    <x:row r="43">
      <x:c r="A43" t="str">
        <x:v>A011</x:v>
      </x:c>
      <x:c r="B43" t="str">
        <x:v>SP-A011-Core</x:v>
      </x:c>
      <x:c r="C43" t="str">
        <x:v>词组</x:v>
      </x:c>
      <x:c r="D43" t="str">
        <x:v>smart doorbell</x:v>
      </x:c>
      <x:c r="E43" t="str">
        <x:v>best smart doorbell</x:v>
      </x:c>
      <x:c r="F43" t="n">
        <x:v>10260</x:v>
      </x:c>
      <x:c r="G43" t="n">
        <x:v>53</x:v>
      </x:c>
      <x:c r="H43" s="8" t="n">
        <x:v>46.11</x:v>
      </x:c>
      <x:c r="I43" t="n">
        <x:v>4</x:v>
      </x:c>
      <x:c r="J43" s="6" t="n">
        <x:v>239.96</x:v>
      </x:c>
      <x:c r="K43" s="9" t="n">
        <x:f>IFERROR(G43/F43,0)</x:f>
        <x:v>0.005165692007797271</x:v>
      </x:c>
      <x:c r="L43" s="9" t="n">
        <x:f>IFERROR(I43/G43,0)</x:f>
        <x:v>0.07547169811320754</x:v>
      </x:c>
      <x:c r="M43" s="10" t="n">
        <x:f>IFERROR(H43/G43,0)</x:f>
        <x:v>0.87</x:v>
      </x:c>
      <x:c r="N43" s="7" t="n">
        <x:f>IFERROR(H43/J43,0)</x:f>
        <x:v>0.1921570261710285</x:v>
      </x:c>
      <x:c r="O43" t="str">
        <x:f>IF(I43=0,IF(H43&gt;=15,"P0 · 否定或暂停","P2 · 继续观察"),IF(N43&gt;45%,"P1 · 降低竞价",IF(AND(I43&gt;=3,N43&lt;=25%),"P1 · 精准扩量","观察")))</x:f>
        <x:v>P1 · 精准扩量</x:v>
      </x:c>
    </x:row>
    <x:row r="44">
      <x:c r="A44" t="str">
        <x:v>A011</x:v>
      </x:c>
      <x:c r="B44" t="str">
        <x:v>SP-A011-Core</x:v>
      </x:c>
      <x:c r="C44" t="str">
        <x:v>广泛</x:v>
      </x:c>
      <x:c r="D44" t="str">
        <x:v>smart doorbell</x:v>
      </x:c>
      <x:c r="E44" t="str">
        <x:v>cheap electronics</x:v>
      </x:c>
      <x:c r="F44" t="n">
        <x:v>8703</x:v>
      </x:c>
      <x:c r="G44" t="n">
        <x:v>38</x:v>
      </x:c>
      <x:c r="H44" s="8" t="n">
        <x:v>37.62</x:v>
      </x:c>
      <x:c r="I44" t="n">
        <x:v>0</x:v>
      </x:c>
      <x:c r="J44" s="6" t="n">
        <x:v>0</x:v>
      </x:c>
      <x:c r="K44" s="9" t="n">
        <x:f>IFERROR(G44/F44,0)</x:f>
        <x:v>0.0043663104676548315</x:v>
      </x:c>
      <x:c r="L44" s="9" t="n">
        <x:f>IFERROR(I44/G44,0)</x:f>
        <x:v>0</x:v>
      </x:c>
      <x:c r="M44" s="10" t="n">
        <x:f>IFERROR(H44/G44,0)</x:f>
        <x:v>0.9899999999999999</x:v>
      </x:c>
      <x:c r="N44" s="7" t="n">
        <x:f>IFERROR(H44/J44,0)</x:f>
        <x:v>0</x:v>
      </x:c>
      <x:c r="O44" t="str">
        <x:f>IF(I44=0,IF(H44&gt;=15,"P0 · 否定或暂停","P2 · 继续观察"),IF(N44&gt;45%,"P1 · 降低竞价",IF(AND(I44&gt;=3,N44&lt;=25%),"P1 · 精准扩量","观察")))</x:f>
        <x:v>P0 · 否定或暂停</x:v>
      </x:c>
    </x:row>
    <x:row r="45">
      <x:c r="A45" t="str">
        <x:v>A011</x:v>
      </x:c>
      <x:c r="B45" t="str">
        <x:v>SP-A011-Core</x:v>
      </x:c>
      <x:c r="C45" t="str">
        <x:v>自动</x:v>
      </x:c>
      <x:c r="D45" t="str">
        <x:v>smart doorbell</x:v>
      </x:c>
      <x:c r="E45" t="str">
        <x:v>smart doorbell accessory</x:v>
      </x:c>
      <x:c r="F45" t="n">
        <x:v>6481</x:v>
      </x:c>
      <x:c r="G45" t="n">
        <x:v>23</x:v>
      </x:c>
      <x:c r="H45" s="8" t="n">
        <x:v>25.53</x:v>
      </x:c>
      <x:c r="I45" t="n">
        <x:v>1</x:v>
      </x:c>
      <x:c r="J45" s="6" t="n">
        <x:v>59.99</x:v>
      </x:c>
      <x:c r="K45" s="9" t="n">
        <x:f>IFERROR(G45/F45,0)</x:f>
        <x:v>0.003548835056318469</x:v>
      </x:c>
      <x:c r="L45" s="9" t="n">
        <x:f>IFERROR(I45/G45,0)</x:f>
        <x:v>0.043478260869565216</x:v>
      </x:c>
      <x:c r="M45" s="10" t="n">
        <x:f>IFERROR(H45/G45,0)</x:f>
        <x:v>1.11</x:v>
      </x:c>
      <x:c r="N45" s="7" t="n">
        <x:f>IFERROR(H45/J45,0)</x:f>
        <x:v>0.42557092848808137</x:v>
      </x:c>
      <x:c r="O45" t="str">
        <x:f>IF(I45=0,IF(H45&gt;=15,"P0 · 否定或暂停","P2 · 继续观察"),IF(N45&gt;45%,"P1 · 降低竞价",IF(AND(I45&gt;=3,N45&lt;=25%),"P1 · 精准扩量","观察")))</x:f>
        <x:v>观察</x:v>
      </x:c>
    </x:row>
    <x:row r="46">
      <x:c r="A46" t="str">
        <x:v>A012</x:v>
      </x:c>
      <x:c r="B46" t="str">
        <x:v>SP-A012-Core</x:v>
      </x:c>
      <x:c r="C46" t="str">
        <x:v>精准</x:v>
      </x:c>
      <x:c r="D46" t="str">
        <x:v>car vacuum cleaner</x:v>
      </x:c>
      <x:c r="E46" t="str">
        <x:v>car vacuum cleaner</x:v>
      </x:c>
      <x:c r="F46" t="n">
        <x:v>12335</x:v>
      </x:c>
      <x:c r="G46" t="n">
        <x:v>74</x:v>
      </x:c>
      <x:c r="H46" s="8" t="n">
        <x:v>55.5</x:v>
      </x:c>
      <x:c r="I46" t="n">
        <x:v>9</x:v>
      </x:c>
      <x:c r="J46" s="6" t="n">
        <x:v>413.91</x:v>
      </x:c>
      <x:c r="K46" s="9" t="n">
        <x:f>IFERROR(G46/F46,0)</x:f>
        <x:v>0.005999189298743413</x:v>
      </x:c>
      <x:c r="L46" s="9" t="n">
        <x:f>IFERROR(I46/G46,0)</x:f>
        <x:v>0.12162162162162163</x:v>
      </x:c>
      <x:c r="M46" s="10" t="n">
        <x:f>IFERROR(H46/G46,0)</x:f>
        <x:v>0.75</x:v>
      </x:c>
      <x:c r="N46" s="7" t="n">
        <x:f>IFERROR(H46/J46,0)</x:f>
        <x:v>0.13408712038849024</x:v>
      </x:c>
      <x:c r="O46" t="str">
        <x:f>IF(I46=0,IF(H46&gt;=15,"P0 · 否定或暂停","P2 · 继续观察"),IF(N46&gt;45%,"P1 · 降低竞价",IF(AND(I46&gt;=3,N46&lt;=25%),"P1 · 精准扩量","观察")))</x:f>
        <x:v>P1 · 精准扩量</x:v>
      </x:c>
    </x:row>
    <x:row r="47">
      <x:c r="A47" t="str">
        <x:v>A012</x:v>
      </x:c>
      <x:c r="B47" t="str">
        <x:v>SP-A012-Core</x:v>
      </x:c>
      <x:c r="C47" t="str">
        <x:v>词组</x:v>
      </x:c>
      <x:c r="D47" t="str">
        <x:v>car vacuum cleaner</x:v>
      </x:c>
      <x:c r="E47" t="str">
        <x:v>best car vacuum cleaner</x:v>
      </x:c>
      <x:c r="F47" t="n">
        <x:v>10289</x:v>
      </x:c>
      <x:c r="G47" t="n">
        <x:v>54</x:v>
      </x:c>
      <x:c r="H47" s="8" t="n">
        <x:v>46.98</x:v>
      </x:c>
      <x:c r="I47" t="n">
        <x:v>4</x:v>
      </x:c>
      <x:c r="J47" s="6" t="n">
        <x:v>183.96</x:v>
      </x:c>
      <x:c r="K47" s="9" t="n">
        <x:f>IFERROR(G47/F47,0)</x:f>
        <x:v>0.005248323452230538</x:v>
      </x:c>
      <x:c r="L47" s="9" t="n">
        <x:f>IFERROR(I47/G47,0)</x:f>
        <x:v>0.07407407407407407</x:v>
      </x:c>
      <x:c r="M47" s="10" t="n">
        <x:f>IFERROR(H47/G47,0)</x:f>
        <x:v>0.87</x:v>
      </x:c>
      <x:c r="N47" s="7" t="n">
        <x:f>IFERROR(H47/J47,0)</x:f>
        <x:v>0.25538160469667315</x:v>
      </x:c>
      <x:c r="O47" t="str">
        <x:f>IF(I47=0,IF(H47&gt;=15,"P0 · 否定或暂停","P2 · 继续观察"),IF(N47&gt;45%,"P1 · 降低竞价",IF(AND(I47&gt;=3,N47&lt;=25%),"P1 · 精准扩量","观察")))</x:f>
        <x:v>观察</x:v>
      </x:c>
    </x:row>
    <x:row r="48">
      <x:c r="A48" t="str">
        <x:v>A012</x:v>
      </x:c>
      <x:c r="B48" t="str">
        <x:v>SP-A012-Core</x:v>
      </x:c>
      <x:c r="C48" t="str">
        <x:v>广泛</x:v>
      </x:c>
      <x:c r="D48" t="str">
        <x:v>car vacuum cleaner</x:v>
      </x:c>
      <x:c r="E48" t="str">
        <x:v>cheap automotive</x:v>
      </x:c>
      <x:c r="F48" t="n">
        <x:v>8516</x:v>
      </x:c>
      <x:c r="G48" t="n">
        <x:v>37</x:v>
      </x:c>
      <x:c r="H48" s="8" t="n">
        <x:v>36.63</x:v>
      </x:c>
      <x:c r="I48" t="n">
        <x:v>0</x:v>
      </x:c>
      <x:c r="J48" s="6" t="n">
        <x:v>0</x:v>
      </x:c>
      <x:c r="K48" s="9" t="n">
        <x:f>IFERROR(G48/F48,0)</x:f>
        <x:v>0.004344762799436355</x:v>
      </x:c>
      <x:c r="L48" s="9" t="n">
        <x:f>IFERROR(I48/G48,0)</x:f>
        <x:v>0</x:v>
      </x:c>
      <x:c r="M48" s="10" t="n">
        <x:f>IFERROR(H48/G48,0)</x:f>
        <x:v>0.9900000000000001</x:v>
      </x:c>
      <x:c r="N48" s="7" t="n">
        <x:f>IFERROR(H48/J48,0)</x:f>
        <x:v>0</x:v>
      </x:c>
      <x:c r="O48" t="str">
        <x:f>IF(I48=0,IF(H48&gt;=15,"P0 · 否定或暂停","P2 · 继续观察"),IF(N48&gt;45%,"P1 · 降低竞价",IF(AND(I48&gt;=3,N48&lt;=25%),"P1 · 精准扩量","观察")))</x:f>
        <x:v>P0 · 否定或暂停</x:v>
      </x:c>
    </x:row>
    <x:row r="49">
      <x:c r="A49" t="str">
        <x:v>A012</x:v>
      </x:c>
      <x:c r="B49" t="str">
        <x:v>SP-A012-Core</x:v>
      </x:c>
      <x:c r="C49" t="str">
        <x:v>自动</x:v>
      </x:c>
      <x:c r="D49" t="str">
        <x:v>car vacuum cleaner</x:v>
      </x:c>
      <x:c r="E49" t="str">
        <x:v>car vacuum cleaner accessory</x:v>
      </x:c>
      <x:c r="F49" t="n">
        <x:v>6268</x:v>
      </x:c>
      <x:c r="G49" t="n">
        <x:v>23</x:v>
      </x:c>
      <x:c r="H49" s="8" t="n">
        <x:v>25.53</x:v>
      </x:c>
      <x:c r="I49" t="n">
        <x:v>1</x:v>
      </x:c>
      <x:c r="J49" s="6" t="n">
        <x:v>45.99</x:v>
      </x:c>
      <x:c r="K49" s="9" t="n">
        <x:f>IFERROR(G49/F49,0)</x:f>
        <x:v>0.003669432035737077</x:v>
      </x:c>
      <x:c r="L49" s="9" t="n">
        <x:f>IFERROR(I49/G49,0)</x:f>
        <x:v>0.043478260869565216</x:v>
      </x:c>
      <x:c r="M49" s="10" t="n">
        <x:f>IFERROR(H49/G49,0)</x:f>
        <x:v>1.11</x:v>
      </x:c>
      <x:c r="N49" s="7" t="n">
        <x:f>IFERROR(H49/J49,0)</x:f>
        <x:v>0.5551206784083497</x:v>
      </x:c>
      <x:c r="O49" t="str">
        <x:f>IF(I49=0,IF(H49&gt;=15,"P0 · 否定或暂停","P2 · 继续观察"),IF(N49&gt;45%,"P1 · 降低竞价",IF(AND(I49&gt;=3,N49&lt;=25%),"P1 · 精准扩量","观察")))</x:f>
        <x:v>P1 · 降低竞价</x:v>
      </x:c>
    </x:row>
    <x:row r="50">
      <x:c r="A50" t="str">
        <x:v>A013</x:v>
      </x:c>
      <x:c r="B50" t="str">
        <x:v>SP-A013-Core</x:v>
      </x:c>
      <x:c r="C50" t="str">
        <x:v>精准</x:v>
      </x:c>
      <x:c r="D50" t="str">
        <x:v>hair dryer brush</x:v>
      </x:c>
      <x:c r="E50" t="str">
        <x:v>hair dryer brush</x:v>
      </x:c>
      <x:c r="F50" t="n">
        <x:v>11716</x:v>
      </x:c>
      <x:c r="G50" t="n">
        <x:v>70</x:v>
      </x:c>
      <x:c r="H50" s="8" t="n">
        <x:v>52.5</x:v>
      </x:c>
      <x:c r="I50" t="n">
        <x:v>8</x:v>
      </x:c>
      <x:c r="J50" s="6" t="n">
        <x:v>287.92</x:v>
      </x:c>
      <x:c r="K50" s="9" t="n">
        <x:f>IFERROR(G50/F50,0)</x:f>
        <x:v>0.0059747354045749405</x:v>
      </x:c>
      <x:c r="L50" s="9" t="n">
        <x:f>IFERROR(I50/G50,0)</x:f>
        <x:v>0.11428571428571428</x:v>
      </x:c>
      <x:c r="M50" s="10" t="n">
        <x:f>IFERROR(H50/G50,0)</x:f>
        <x:v>0.75</x:v>
      </x:c>
      <x:c r="N50" s="7" t="n">
        <x:f>IFERROR(H50/J50,0)</x:f>
        <x:v>0.182342317310364</x:v>
      </x:c>
      <x:c r="O50" t="str">
        <x:f>IF(I50=0,IF(H50&gt;=15,"P0 · 否定或暂停","P2 · 继续观察"),IF(N50&gt;45%,"P1 · 降低竞价",IF(AND(I50&gt;=3,N50&lt;=25%),"P1 · 精准扩量","观察")))</x:f>
        <x:v>P1 · 精准扩量</x:v>
      </x:c>
    </x:row>
    <x:row r="51">
      <x:c r="A51" t="str">
        <x:v>A013</x:v>
      </x:c>
      <x:c r="B51" t="str">
        <x:v>SP-A013-Core</x:v>
      </x:c>
      <x:c r="C51" t="str">
        <x:v>词组</x:v>
      </x:c>
      <x:c r="D51" t="str">
        <x:v>hair dryer brush</x:v>
      </x:c>
      <x:c r="E51" t="str">
        <x:v>best hair dryer brush</x:v>
      </x:c>
      <x:c r="F51" t="n">
        <x:v>10077</x:v>
      </x:c>
      <x:c r="G51" t="n">
        <x:v>52</x:v>
      </x:c>
      <x:c r="H51" s="8" t="n">
        <x:v>45.24</x:v>
      </x:c>
      <x:c r="I51" t="n">
        <x:v>4</x:v>
      </x:c>
      <x:c r="J51" s="6" t="n">
        <x:v>143.96</x:v>
      </x:c>
      <x:c r="K51" s="9" t="n">
        <x:f>IFERROR(G51/F51,0)</x:f>
        <x:v>0.005160265952168304</x:v>
      </x:c>
      <x:c r="L51" s="9" t="n">
        <x:f>IFERROR(I51/G51,0)</x:f>
        <x:v>0.07692307692307693</x:v>
      </x:c>
      <x:c r="M51" s="10" t="n">
        <x:f>IFERROR(H51/G51,0)</x:f>
        <x:v>0.87</x:v>
      </x:c>
      <x:c r="N51" s="7" t="n">
        <x:f>IFERROR(H51/J51,0)</x:f>
        <x:v>0.31425395943317586</x:v>
      </x:c>
      <x:c r="O51" t="str">
        <x:f>IF(I51=0,IF(H51&gt;=15,"P0 · 否定或暂停","P2 · 继续观察"),IF(N51&gt;45%,"P1 · 降低竞价",IF(AND(I51&gt;=3,N51&lt;=25%),"P1 · 精准扩量","观察")))</x:f>
        <x:v>观察</x:v>
      </x:c>
    </x:row>
    <x:row r="52">
      <x:c r="A52" t="str">
        <x:v>A013</x:v>
      </x:c>
      <x:c r="B52" t="str">
        <x:v>SP-A013-Core</x:v>
      </x:c>
      <x:c r="C52" t="str">
        <x:v>广泛</x:v>
      </x:c>
      <x:c r="D52" t="str">
        <x:v>hair dryer brush</x:v>
      </x:c>
      <x:c r="E52" t="str">
        <x:v>cheap beauty</x:v>
      </x:c>
      <x:c r="F52" t="n">
        <x:v>8018</x:v>
      </x:c>
      <x:c r="G52" t="n">
        <x:v>35</x:v>
      </x:c>
      <x:c r="H52" s="8" t="n">
        <x:v>34.65</x:v>
      </x:c>
      <x:c r="I52" t="n">
        <x:v>0</x:v>
      </x:c>
      <x:c r="J52" s="6" t="n">
        <x:v>0</x:v>
      </x:c>
      <x:c r="K52" s="9" t="n">
        <x:f>IFERROR(G52/F52,0)</x:f>
        <x:v>0.004365178348715391</x:v>
      </x:c>
      <x:c r="L52" s="9" t="n">
        <x:f>IFERROR(I52/G52,0)</x:f>
        <x:v>0</x:v>
      </x:c>
      <x:c r="M52" s="10" t="n">
        <x:f>IFERROR(H52/G52,0)</x:f>
        <x:v>0.99</x:v>
      </x:c>
      <x:c r="N52" s="7" t="n">
        <x:f>IFERROR(H52/J52,0)</x:f>
        <x:v>0</x:v>
      </x:c>
      <x:c r="O52" t="str">
        <x:f>IF(I52=0,IF(H52&gt;=15,"P0 · 否定或暂停","P2 · 继续观察"),IF(N52&gt;45%,"P1 · 降低竞价",IF(AND(I52&gt;=3,N52&lt;=25%),"P1 · 精准扩量","观察")))</x:f>
        <x:v>P0 · 否定或暂停</x:v>
      </x:c>
    </x:row>
    <x:row r="53">
      <x:c r="A53" t="str">
        <x:v>A013</x:v>
      </x:c>
      <x:c r="B53" t="str">
        <x:v>SP-A013-Core</x:v>
      </x:c>
      <x:c r="C53" t="str">
        <x:v>自动</x:v>
      </x:c>
      <x:c r="D53" t="str">
        <x:v>hair dryer brush</x:v>
      </x:c>
      <x:c r="E53" t="str">
        <x:v>hair dryer brush accessory</x:v>
      </x:c>
      <x:c r="F53" t="n">
        <x:v>6289</x:v>
      </x:c>
      <x:c r="G53" t="n">
        <x:v>23</x:v>
      </x:c>
      <x:c r="H53" s="8" t="n">
        <x:v>25.53</x:v>
      </x:c>
      <x:c r="I53" t="n">
        <x:v>1</x:v>
      </x:c>
      <x:c r="J53" s="6" t="n">
        <x:v>35.99</x:v>
      </x:c>
      <x:c r="K53" s="9" t="n">
        <x:f>IFERROR(G53/F53,0)</x:f>
        <x:v>0.003657179201780887</x:v>
      </x:c>
      <x:c r="L53" s="9" t="n">
        <x:f>IFERROR(I53/G53,0)</x:f>
        <x:v>0.043478260869565216</x:v>
      </x:c>
      <x:c r="M53" s="10" t="n">
        <x:f>IFERROR(H53/G53,0)</x:f>
        <x:v>1.11</x:v>
      </x:c>
      <x:c r="N53" s="7" t="n">
        <x:f>IFERROR(H53/J53,0)</x:f>
        <x:v>0.7093637121422617</x:v>
      </x:c>
      <x:c r="O53" t="str">
        <x:f>IF(I53=0,IF(H53&gt;=15,"P0 · 否定或暂停","P2 · 继续观察"),IF(N53&gt;45%,"P1 · 降低竞价",IF(AND(I53&gt;=3,N53&lt;=25%),"P1 · 精准扩量","观察")))</x:f>
        <x:v>P1 · 降低竞价</x:v>
      </x:c>
    </x:row>
    <x:row r="54">
      <x:c r="A54" t="str">
        <x:v>A014</x:v>
      </x:c>
      <x:c r="B54" t="str">
        <x:v>SP-A014-Core</x:v>
      </x:c>
      <x:c r="C54" t="str">
        <x:v>精准</x:v>
      </x:c>
      <x:c r="D54" t="str">
        <x:v>coffee grinder</x:v>
      </x:c>
      <x:c r="E54" t="str">
        <x:v>coffee grinder</x:v>
      </x:c>
      <x:c r="F54" t="n">
        <x:v>12266</x:v>
      </x:c>
      <x:c r="G54" t="n">
        <x:v>74</x:v>
      </x:c>
      <x:c r="H54" s="8" t="n">
        <x:v>55.5</x:v>
      </x:c>
      <x:c r="I54" t="n">
        <x:v>9</x:v>
      </x:c>
      <x:c r="J54" s="6" t="n">
        <x:v>251.91</x:v>
      </x:c>
      <x:c r="K54" s="9" t="n">
        <x:f>IFERROR(G54/F54,0)</x:f>
        <x:v>0.0060329365726398175</x:v>
      </x:c>
      <x:c r="L54" s="9" t="n">
        <x:f>IFERROR(I54/G54,0)</x:f>
        <x:v>0.12162162162162163</x:v>
      </x:c>
      <x:c r="M54" s="10" t="n">
        <x:f>IFERROR(H54/G54,0)</x:f>
        <x:v>0.75</x:v>
      </x:c>
      <x:c r="N54" s="7" t="n">
        <x:f>IFERROR(H54/J54,0)</x:f>
        <x:v>0.22031677980231035</x:v>
      </x:c>
      <x:c r="O54" t="str">
        <x:f>IF(I54=0,IF(H54&gt;=15,"P0 · 否定或暂停","P2 · 继续观察"),IF(N54&gt;45%,"P1 · 降低竞价",IF(AND(I54&gt;=3,N54&lt;=25%),"P1 · 精准扩量","观察")))</x:f>
        <x:v>P1 · 精准扩量</x:v>
      </x:c>
    </x:row>
    <x:row r="55">
      <x:c r="A55" t="str">
        <x:v>A014</x:v>
      </x:c>
      <x:c r="B55" t="str">
        <x:v>SP-A014-Core</x:v>
      </x:c>
      <x:c r="C55" t="str">
        <x:v>词组</x:v>
      </x:c>
      <x:c r="D55" t="str">
        <x:v>coffee grinder</x:v>
      </x:c>
      <x:c r="E55" t="str">
        <x:v>best coffee grinder</x:v>
      </x:c>
      <x:c r="F55" t="n">
        <x:v>10069</x:v>
      </x:c>
      <x:c r="G55" t="n">
        <x:v>52</x:v>
      </x:c>
      <x:c r="H55" s="8" t="n">
        <x:v>45.24</x:v>
      </x:c>
      <x:c r="I55" t="n">
        <x:v>4</x:v>
      </x:c>
      <x:c r="J55" s="6" t="n">
        <x:v>111.96</x:v>
      </x:c>
      <x:c r="K55" s="9" t="n">
        <x:f>IFERROR(G55/F55,0)</x:f>
        <x:v>0.005164365875459331</x:v>
      </x:c>
      <x:c r="L55" s="9" t="n">
        <x:f>IFERROR(I55/G55,0)</x:f>
        <x:v>0.07692307692307693</x:v>
      </x:c>
      <x:c r="M55" s="10" t="n">
        <x:f>IFERROR(H55/G55,0)</x:f>
        <x:v>0.87</x:v>
      </x:c>
      <x:c r="N55" s="7" t="n">
        <x:f>IFERROR(H55/J55,0)</x:f>
        <x:v>0.4040728831725617</x:v>
      </x:c>
      <x:c r="O55" t="str">
        <x:f>IF(I55=0,IF(H55&gt;=15,"P0 · 否定或暂停","P2 · 继续观察"),IF(N55&gt;45%,"P1 · 降低竞价",IF(AND(I55&gt;=3,N55&lt;=25%),"P1 · 精准扩量","观察")))</x:f>
        <x:v>观察</x:v>
      </x:c>
    </x:row>
    <x:row r="56">
      <x:c r="A56" t="str">
        <x:v>A014</x:v>
      </x:c>
      <x:c r="B56" t="str">
        <x:v>SP-A014-Core</x:v>
      </x:c>
      <x:c r="C56" t="str">
        <x:v>广泛</x:v>
      </x:c>
      <x:c r="D56" t="str">
        <x:v>coffee grinder</x:v>
      </x:c>
      <x:c r="E56" t="str">
        <x:v>cheap kitchen</x:v>
      </x:c>
      <x:c r="F56" t="n">
        <x:v>8677</x:v>
      </x:c>
      <x:c r="G56" t="n">
        <x:v>38</x:v>
      </x:c>
      <x:c r="H56" s="8" t="n">
        <x:v>37.62</x:v>
      </x:c>
      <x:c r="I56" t="n">
        <x:v>0</x:v>
      </x:c>
      <x:c r="J56" s="6" t="n">
        <x:v>0</x:v>
      </x:c>
      <x:c r="K56" s="9" t="n">
        <x:f>IFERROR(G56/F56,0)</x:f>
        <x:v>0.004379393799700358</x:v>
      </x:c>
      <x:c r="L56" s="9" t="n">
        <x:f>IFERROR(I56/G56,0)</x:f>
        <x:v>0</x:v>
      </x:c>
      <x:c r="M56" s="10" t="n">
        <x:f>IFERROR(H56/G56,0)</x:f>
        <x:v>0.9899999999999999</x:v>
      </x:c>
      <x:c r="N56" s="7" t="n">
        <x:f>IFERROR(H56/J56,0)</x:f>
        <x:v>0</x:v>
      </x:c>
      <x:c r="O56" t="str">
        <x:f>IF(I56=0,IF(H56&gt;=15,"P0 · 否定或暂停","P2 · 继续观察"),IF(N56&gt;45%,"P1 · 降低竞价",IF(AND(I56&gt;=3,N56&lt;=25%),"P1 · 精准扩量","观察")))</x:f>
        <x:v>P0 · 否定或暂停</x:v>
      </x:c>
    </x:row>
    <x:row r="57">
      <x:c r="A57" t="str">
        <x:v>A014</x:v>
      </x:c>
      <x:c r="B57" t="str">
        <x:v>SP-A014-Core</x:v>
      </x:c>
      <x:c r="C57" t="str">
        <x:v>自动</x:v>
      </x:c>
      <x:c r="D57" t="str">
        <x:v>coffee grinder</x:v>
      </x:c>
      <x:c r="E57" t="str">
        <x:v>coffee grinder accessory</x:v>
      </x:c>
      <x:c r="F57" t="n">
        <x:v>6248</x:v>
      </x:c>
      <x:c r="G57" t="n">
        <x:v>22</x:v>
      </x:c>
      <x:c r="H57" s="8" t="n">
        <x:v>24.42</x:v>
      </x:c>
      <x:c r="I57" t="n">
        <x:v>1</x:v>
      </x:c>
      <x:c r="J57" s="6" t="n">
        <x:v>27.99</x:v>
      </x:c>
      <x:c r="K57" s="9" t="n">
        <x:f>IFERROR(G57/F57,0)</x:f>
        <x:v>0.0035211267605633804</x:v>
      </x:c>
      <x:c r="L57" s="9" t="n">
        <x:f>IFERROR(I57/G57,0)</x:f>
        <x:v>0.045454545454545456</x:v>
      </x:c>
      <x:c r="M57" s="10" t="n">
        <x:f>IFERROR(H57/G57,0)</x:f>
        <x:v>1.11</x:v>
      </x:c>
      <x:c r="N57" s="7" t="n">
        <x:f>IFERROR(H57/J57,0)</x:f>
        <x:v>0.8724544480171491</x:v>
      </x:c>
      <x:c r="O57" t="str">
        <x:f>IF(I57=0,IF(H57&gt;=15,"P0 · 否定或暂停","P2 · 继续观察"),IF(N57&gt;45%,"P1 · 降低竞价",IF(AND(I57&gt;=3,N57&lt;=25%),"P1 · 精准扩量","观察")))</x:f>
        <x:v>P1 · 降低竞价</x:v>
      </x:c>
    </x:row>
    <x:row r="58">
      <x:c r="A58" t="str">
        <x:v>A015</x:v>
      </x:c>
      <x:c r="B58" t="str">
        <x:v>SP-A015-Core</x:v>
      </x:c>
      <x:c r="C58" t="str">
        <x:v>精准</x:v>
      </x:c>
      <x:c r="D58" t="str">
        <x:v>laptop stand</x:v>
      </x:c>
      <x:c r="E58" t="str">
        <x:v>laptop stand</x:v>
      </x:c>
      <x:c r="F58" t="n">
        <x:v>12175</x:v>
      </x:c>
      <x:c r="G58" t="n">
        <x:v>73</x:v>
      </x:c>
      <x:c r="H58" s="8" t="n">
        <x:v>54.75</x:v>
      </x:c>
      <x:c r="I58" t="n">
        <x:v>9</x:v>
      </x:c>
      <x:c r="J58" s="6" t="n">
        <x:v>233.91</x:v>
      </x:c>
      <x:c r="K58" s="9" t="n">
        <x:f>IFERROR(G58/F58,0)</x:f>
        <x:v>0.005995893223819302</x:v>
      </x:c>
      <x:c r="L58" s="9" t="n">
        <x:f>IFERROR(I58/G58,0)</x:f>
        <x:v>0.1232876712328767</x:v>
      </x:c>
      <x:c r="M58" s="10" t="n">
        <x:f>IFERROR(H58/G58,0)</x:f>
        <x:v>0.75</x:v>
      </x:c>
      <x:c r="N58" s="7" t="n">
        <x:f>IFERROR(H58/J58,0)</x:f>
        <x:v>0.23406438373733487</x:v>
      </x:c>
      <x:c r="O58" t="str">
        <x:f>IF(I58=0,IF(H58&gt;=15,"P0 · 否定或暂停","P2 · 继续观察"),IF(N58&gt;45%,"P1 · 降低竞价",IF(AND(I58&gt;=3,N58&lt;=25%),"P1 · 精准扩量","观察")))</x:f>
        <x:v>P1 · 精准扩量</x:v>
      </x:c>
    </x:row>
    <x:row r="59">
      <x:c r="A59" t="str">
        <x:v>A015</x:v>
      </x:c>
      <x:c r="B59" t="str">
        <x:v>SP-A015-Core</x:v>
      </x:c>
      <x:c r="C59" t="str">
        <x:v>词组</x:v>
      </x:c>
      <x:c r="D59" t="str">
        <x:v>laptop stand</x:v>
      </x:c>
      <x:c r="E59" t="str">
        <x:v>best laptop stand</x:v>
      </x:c>
      <x:c r="F59" t="n">
        <x:v>10351</x:v>
      </x:c>
      <x:c r="G59" t="n">
        <x:v>54</x:v>
      </x:c>
      <x:c r="H59" s="8" t="n">
        <x:v>46.98</x:v>
      </x:c>
      <x:c r="I59" t="n">
        <x:v>4</x:v>
      </x:c>
      <x:c r="J59" s="6" t="n">
        <x:v>103.96</x:v>
      </x:c>
      <x:c r="K59" s="9" t="n">
        <x:f>IFERROR(G59/F59,0)</x:f>
        <x:v>0.005216887257269829</x:v>
      </x:c>
      <x:c r="L59" s="9" t="n">
        <x:f>IFERROR(I59/G59,0)</x:f>
        <x:v>0.07407407407407407</x:v>
      </x:c>
      <x:c r="M59" s="10" t="n">
        <x:f>IFERROR(H59/G59,0)</x:f>
        <x:v>0.87</x:v>
      </x:c>
      <x:c r="N59" s="7" t="n">
        <x:f>IFERROR(H59/J59,0)</x:f>
        <x:v>0.45190457868410927</x:v>
      </x:c>
      <x:c r="O59" t="str">
        <x:f>IF(I59=0,IF(H59&gt;=15,"P0 · 否定或暂停","P2 · 继续观察"),IF(N59&gt;45%,"P1 · 降低竞价",IF(AND(I59&gt;=3,N59&lt;=25%),"P1 · 精准扩量","观察")))</x:f>
        <x:v>P1 · 降低竞价</x:v>
      </x:c>
    </x:row>
    <x:row r="60">
      <x:c r="A60" t="str">
        <x:v>A015</x:v>
      </x:c>
      <x:c r="B60" t="str">
        <x:v>SP-A015-Core</x:v>
      </x:c>
      <x:c r="C60" t="str">
        <x:v>广泛</x:v>
      </x:c>
      <x:c r="D60" t="str">
        <x:v>laptop stand</x:v>
      </x:c>
      <x:c r="E60" t="str">
        <x:v>cheap office</x:v>
      </x:c>
      <x:c r="F60" t="n">
        <x:v>8758</x:v>
      </x:c>
      <x:c r="G60" t="n">
        <x:v>39</x:v>
      </x:c>
      <x:c r="H60" s="8" t="n">
        <x:v>38.61</x:v>
      </x:c>
      <x:c r="I60" t="n">
        <x:v>0</x:v>
      </x:c>
      <x:c r="J60" s="6" t="n">
        <x:v>0</x:v>
      </x:c>
      <x:c r="K60" s="9" t="n">
        <x:f>IFERROR(G60/F60,0)</x:f>
        <x:v>0.00445307147750628</x:v>
      </x:c>
      <x:c r="L60" s="9" t="n">
        <x:f>IFERROR(I60/G60,0)</x:f>
        <x:v>0</x:v>
      </x:c>
      <x:c r="M60" s="10" t="n">
        <x:f>IFERROR(H60/G60,0)</x:f>
        <x:v>0.99</x:v>
      </x:c>
      <x:c r="N60" s="7" t="n">
        <x:f>IFERROR(H60/J60,0)</x:f>
        <x:v>0</x:v>
      </x:c>
      <x:c r="O60" t="str">
        <x:f>IF(I60=0,IF(H60&gt;=15,"P0 · 否定或暂停","P2 · 继续观察"),IF(N60&gt;45%,"P1 · 降低竞价",IF(AND(I60&gt;=3,N60&lt;=25%),"P1 · 精准扩量","观察")))</x:f>
        <x:v>P0 · 否定或暂停</x:v>
      </x:c>
    </x:row>
    <x:row r="61">
      <x:c r="A61" t="str">
        <x:v>A015</x:v>
      </x:c>
      <x:c r="B61" t="str">
        <x:v>SP-A015-Core</x:v>
      </x:c>
      <x:c r="C61" t="str">
        <x:v>自动</x:v>
      </x:c>
      <x:c r="D61" t="str">
        <x:v>laptop stand</x:v>
      </x:c>
      <x:c r="E61" t="str">
        <x:v>laptop stand accessory</x:v>
      </x:c>
      <x:c r="F61" t="n">
        <x:v>6587</x:v>
      </x:c>
      <x:c r="G61" t="n">
        <x:v>24</x:v>
      </x:c>
      <x:c r="H61" s="8" t="n">
        <x:v>26.64</x:v>
      </x:c>
      <x:c r="I61" t="n">
        <x:v>1</x:v>
      </x:c>
      <x:c r="J61" s="6" t="n">
        <x:v>25.99</x:v>
      </x:c>
      <x:c r="K61" s="9" t="n">
        <x:f>IFERROR(G61/F61,0)</x:f>
        <x:v>0.0036435403066646423</x:v>
      </x:c>
      <x:c r="L61" s="9" t="n">
        <x:f>IFERROR(I61/G61,0)</x:f>
        <x:v>0.041666666666666664</x:v>
      </x:c>
      <x:c r="M61" s="10" t="n">
        <x:f>IFERROR(H61/G61,0)</x:f>
        <x:v>1.11</x:v>
      </x:c>
      <x:c r="N61" s="7" t="n">
        <x:f>IFERROR(H61/J61,0)</x:f>
        <x:v>1.0250096190842632</x:v>
      </x:c>
      <x:c r="O61" t="str">
        <x:f>IF(I61=0,IF(H61&gt;=15,"P0 · 否定或暂停","P2 · 继续观察"),IF(N61&gt;45%,"P1 · 降低竞价",IF(AND(I61&gt;=3,N61&lt;=25%),"P1 · 精准扩量","观察")))</x:f>
        <x:v>P1 · 降低竞价</x:v>
      </x:c>
    </x:row>
    <x:row r="62">
      <x:c r="A62" t="str">
        <x:v>A016</x:v>
      </x:c>
      <x:c r="B62" t="str">
        <x:v>SP-A016-Core</x:v>
      </x:c>
      <x:c r="C62" t="str">
        <x:v>精准</x:v>
      </x:c>
      <x:c r="D62" t="str">
        <x:v>dog grooming kit</x:v>
      </x:c>
      <x:c r="E62" t="str">
        <x:v>dog grooming kit</x:v>
      </x:c>
      <x:c r="F62" t="n">
        <x:v>12269</x:v>
      </x:c>
      <x:c r="G62" t="n">
        <x:v>74</x:v>
      </x:c>
      <x:c r="H62" s="8" t="n">
        <x:v>55.5</x:v>
      </x:c>
      <x:c r="I62" t="n">
        <x:v>9</x:v>
      </x:c>
      <x:c r="J62" s="6" t="n">
        <x:v>260.91</x:v>
      </x:c>
      <x:c r="K62" s="9" t="n">
        <x:f>IFERROR(G62/F62,0)</x:f>
        <x:v>0.00603146140679762</x:v>
      </x:c>
      <x:c r="L62" s="9" t="n">
        <x:f>IFERROR(I62/G62,0)</x:f>
        <x:v>0.12162162162162163</x:v>
      </x:c>
      <x:c r="M62" s="10" t="n">
        <x:f>IFERROR(H62/G62,0)</x:f>
        <x:v>0.75</x:v>
      </x:c>
      <x:c r="N62" s="7" t="n">
        <x:f>IFERROR(H62/J62,0)</x:f>
        <x:v>0.2127170288605266</x:v>
      </x:c>
      <x:c r="O62" t="str">
        <x:f>IF(I62=0,IF(H62&gt;=15,"P0 · 否定或暂停","P2 · 继续观察"),IF(N62&gt;45%,"P1 · 降低竞价",IF(AND(I62&gt;=3,N62&lt;=25%),"P1 · 精准扩量","观察")))</x:f>
        <x:v>P1 · 精准扩量</x:v>
      </x:c>
    </x:row>
    <x:row r="63">
      <x:c r="A63" t="str">
        <x:v>A016</x:v>
      </x:c>
      <x:c r="B63" t="str">
        <x:v>SP-A016-Core</x:v>
      </x:c>
      <x:c r="C63" t="str">
        <x:v>词组</x:v>
      </x:c>
      <x:c r="D63" t="str">
        <x:v>dog grooming kit</x:v>
      </x:c>
      <x:c r="E63" t="str">
        <x:v>best dog grooming kit</x:v>
      </x:c>
      <x:c r="F63" t="n">
        <x:v>10073</x:v>
      </x:c>
      <x:c r="G63" t="n">
        <x:v>52</x:v>
      </x:c>
      <x:c r="H63" s="8" t="n">
        <x:v>45.24</x:v>
      </x:c>
      <x:c r="I63" t="n">
        <x:v>4</x:v>
      </x:c>
      <x:c r="J63" s="6" t="n">
        <x:v>115.96</x:v>
      </x:c>
      <x:c r="K63" s="9" t="n">
        <x:f>IFERROR(G63/F63,0)</x:f>
        <x:v>0.005162315099771666</x:v>
      </x:c>
      <x:c r="L63" s="9" t="n">
        <x:f>IFERROR(I63/G63,0)</x:f>
        <x:v>0.07692307692307693</x:v>
      </x:c>
      <x:c r="M63" s="10" t="n">
        <x:f>IFERROR(H63/G63,0)</x:f>
        <x:v>0.87</x:v>
      </x:c>
      <x:c r="N63" s="7" t="n">
        <x:f>IFERROR(H63/J63,0)</x:f>
        <x:v>0.3901345291479821</x:v>
      </x:c>
      <x:c r="O63" t="str">
        <x:f>IF(I63=0,IF(H63&gt;=15,"P0 · 否定或暂停","P2 · 继续观察"),IF(N63&gt;45%,"P1 · 降低竞价",IF(AND(I63&gt;=3,N63&lt;=25%),"P1 · 精准扩量","观察")))</x:f>
        <x:v>观察</x:v>
      </x:c>
    </x:row>
    <x:row r="64">
      <x:c r="A64" t="str">
        <x:v>A016</x:v>
      </x:c>
      <x:c r="B64" t="str">
        <x:v>SP-A016-Core</x:v>
      </x:c>
      <x:c r="C64" t="str">
        <x:v>广泛</x:v>
      </x:c>
      <x:c r="D64" t="str">
        <x:v>dog grooming kit</x:v>
      </x:c>
      <x:c r="E64" t="str">
        <x:v>cheap pet supplies</x:v>
      </x:c>
      <x:c r="F64" t="n">
        <x:v>8680</x:v>
      </x:c>
      <x:c r="G64" t="n">
        <x:v>38</x:v>
      </x:c>
      <x:c r="H64" s="8" t="n">
        <x:v>37.62</x:v>
      </x:c>
      <x:c r="I64" t="n">
        <x:v>0</x:v>
      </x:c>
      <x:c r="J64" s="6" t="n">
        <x:v>0</x:v>
      </x:c>
      <x:c r="K64" s="9" t="n">
        <x:f>IFERROR(G64/F64,0)</x:f>
        <x:v>0.004377880184331797</x:v>
      </x:c>
      <x:c r="L64" s="9" t="n">
        <x:f>IFERROR(I64/G64,0)</x:f>
        <x:v>0</x:v>
      </x:c>
      <x:c r="M64" s="10" t="n">
        <x:f>IFERROR(H64/G64,0)</x:f>
        <x:v>0.9899999999999999</x:v>
      </x:c>
      <x:c r="N64" s="7" t="n">
        <x:f>IFERROR(H64/J64,0)</x:f>
        <x:v>0</x:v>
      </x:c>
      <x:c r="O64" t="str">
        <x:f>IF(I64=0,IF(H64&gt;=15,"P0 · 否定或暂停","P2 · 继续观察"),IF(N64&gt;45%,"P1 · 降低竞价",IF(AND(I64&gt;=3,N64&lt;=25%),"P1 · 精准扩量","观察")))</x:f>
        <x:v>P0 · 否定或暂停</x:v>
      </x:c>
    </x:row>
    <x:row r="65">
      <x:c r="A65" t="str">
        <x:v>A016</x:v>
      </x:c>
      <x:c r="B65" t="str">
        <x:v>SP-A016-Core</x:v>
      </x:c>
      <x:c r="C65" t="str">
        <x:v>自动</x:v>
      </x:c>
      <x:c r="D65" t="str">
        <x:v>dog grooming kit</x:v>
      </x:c>
      <x:c r="E65" t="str">
        <x:v>dog grooming kit accessory</x:v>
      </x:c>
      <x:c r="F65" t="n">
        <x:v>6792</x:v>
      </x:c>
      <x:c r="G65" t="n">
        <x:v>24</x:v>
      </x:c>
      <x:c r="H65" s="8" t="n">
        <x:v>26.64</x:v>
      </x:c>
      <x:c r="I65" t="n">
        <x:v>1</x:v>
      </x:c>
      <x:c r="J65" s="6" t="n">
        <x:v>28.99</x:v>
      </x:c>
      <x:c r="K65" s="9" t="n">
        <x:f>IFERROR(G65/F65,0)</x:f>
        <x:v>0.0035335689045936395</x:v>
      </x:c>
      <x:c r="L65" s="9" t="n">
        <x:f>IFERROR(I65/G65,0)</x:f>
        <x:v>0.041666666666666664</x:v>
      </x:c>
      <x:c r="M65" s="10" t="n">
        <x:f>IFERROR(H65/G65,0)</x:f>
        <x:v>1.11</x:v>
      </x:c>
      <x:c r="N65" s="7" t="n">
        <x:f>IFERROR(H65/J65,0)</x:f>
        <x:v>0.918937564677475</x:v>
      </x:c>
      <x:c r="O65" t="str">
        <x:f>IF(I65=0,IF(H65&gt;=15,"P0 · 否定或暂停","P2 · 继续观察"),IF(N65&gt;45%,"P1 · 降低竞价",IF(AND(I65&gt;=3,N65&lt;=25%),"P1 · 精准扩量","观察")))</x:f>
        <x:v>P1 · 降低竞价</x:v>
      </x:c>
    </x:row>
    <x:row r="66">
      <x:c r="A66" t="str">
        <x:v>A017</x:v>
      </x:c>
      <x:c r="B66" t="str">
        <x:v>SP-A017-Core</x:v>
      </x:c>
      <x:c r="C66" t="str">
        <x:v>精准</x:v>
      </x:c>
      <x:c r="D66" t="str">
        <x:v>solar string lights</x:v>
      </x:c>
      <x:c r="E66" t="str">
        <x:v>solar string lights</x:v>
      </x:c>
      <x:c r="F66" t="n">
        <x:v>11659</x:v>
      </x:c>
      <x:c r="G66" t="n">
        <x:v>70</x:v>
      </x:c>
      <x:c r="H66" s="8" t="n">
        <x:v>52.5</x:v>
      </x:c>
      <x:c r="I66" t="n">
        <x:v>8</x:v>
      </x:c>
      <x:c r="J66" s="6" t="n">
        <x:v>151.92</x:v>
      </x:c>
      <x:c r="K66" s="9" t="n">
        <x:f>IFERROR(G66/F66,0)</x:f>
        <x:v>0.006003945449867055</x:v>
      </x:c>
      <x:c r="L66" s="9" t="n">
        <x:f>IFERROR(I66/G66,0)</x:f>
        <x:v>0.11428571428571428</x:v>
      </x:c>
      <x:c r="M66" s="10" t="n">
        <x:f>IFERROR(H66/G66,0)</x:f>
        <x:v>0.75</x:v>
      </x:c>
      <x:c r="N66" s="7" t="n">
        <x:f>IFERROR(H66/J66,0)</x:f>
        <x:v>0.34557661927330174</x:v>
      </x:c>
      <x:c r="O66" t="str">
        <x:f>IF(I66=0,IF(H66&gt;=15,"P0 · 否定或暂停","P2 · 继续观察"),IF(N66&gt;45%,"P1 · 降低竞价",IF(AND(I66&gt;=3,N66&lt;=25%),"P1 · 精准扩量","观察")))</x:f>
        <x:v>观察</x:v>
      </x:c>
    </x:row>
    <x:row r="67">
      <x:c r="A67" t="str">
        <x:v>A017</x:v>
      </x:c>
      <x:c r="B67" t="str">
        <x:v>SP-A017-Core</x:v>
      </x:c>
      <x:c r="C67" t="str">
        <x:v>词组</x:v>
      </x:c>
      <x:c r="D67" t="str">
        <x:v>solar string lights</x:v>
      </x:c>
      <x:c r="E67" t="str">
        <x:v>best solar string lights</x:v>
      </x:c>
      <x:c r="F67" t="n">
        <x:v>10050</x:v>
      </x:c>
      <x:c r="G67" t="n">
        <x:v>52</x:v>
      </x:c>
      <x:c r="H67" s="8" t="n">
        <x:v>45.24</x:v>
      </x:c>
      <x:c r="I67" t="n">
        <x:v>4</x:v>
      </x:c>
      <x:c r="J67" s="6" t="n">
        <x:v>75.96</x:v>
      </x:c>
      <x:c r="K67" s="9" t="n">
        <x:f>IFERROR(G67/F67,0)</x:f>
        <x:v>0.005174129353233831</x:v>
      </x:c>
      <x:c r="L67" s="9" t="n">
        <x:f>IFERROR(I67/G67,0)</x:f>
        <x:v>0.07692307692307693</x:v>
      </x:c>
      <x:c r="M67" s="10" t="n">
        <x:f>IFERROR(H67/G67,0)</x:f>
        <x:v>0.87</x:v>
      </x:c>
      <x:c r="N67" s="7" t="n">
        <x:f>IFERROR(H67/J67,0)</x:f>
        <x:v>0.5955766192733019</x:v>
      </x:c>
      <x:c r="O67" t="str">
        <x:f>IF(I67=0,IF(H67&gt;=15,"P0 · 否定或暂停","P2 · 继续观察"),IF(N67&gt;45%,"P1 · 降低竞价",IF(AND(I67&gt;=3,N67&lt;=25%),"P1 · 精准扩量","观察")))</x:f>
        <x:v>P1 · 降低竞价</x:v>
      </x:c>
    </x:row>
    <x:row r="68">
      <x:c r="A68" t="str">
        <x:v>A017</x:v>
      </x:c>
      <x:c r="B68" t="str">
        <x:v>SP-A017-Core</x:v>
      </x:c>
      <x:c r="C68" t="str">
        <x:v>广泛</x:v>
      </x:c>
      <x:c r="D68" t="str">
        <x:v>solar string lights</x:v>
      </x:c>
      <x:c r="E68" t="str">
        <x:v>cheap outdoor</x:v>
      </x:c>
      <x:c r="F68" t="n">
        <x:v>8811</x:v>
      </x:c>
      <x:c r="G68" t="n">
        <x:v>39</x:v>
      </x:c>
      <x:c r="H68" s="8" t="n">
        <x:v>38.61</x:v>
      </x:c>
      <x:c r="I68" t="n">
        <x:v>0</x:v>
      </x:c>
      <x:c r="J68" s="6" t="n">
        <x:v>0</x:v>
      </x:c>
      <x:c r="K68" s="9" t="n">
        <x:f>IFERROR(G68/F68,0)</x:f>
        <x:v>0.004426285325161729</x:v>
      </x:c>
      <x:c r="L68" s="9" t="n">
        <x:f>IFERROR(I68/G68,0)</x:f>
        <x:v>0</x:v>
      </x:c>
      <x:c r="M68" s="10" t="n">
        <x:f>IFERROR(H68/G68,0)</x:f>
        <x:v>0.99</x:v>
      </x:c>
      <x:c r="N68" s="7" t="n">
        <x:f>IFERROR(H68/J68,0)</x:f>
        <x:v>0</x:v>
      </x:c>
      <x:c r="O68" t="str">
        <x:f>IF(I68=0,IF(H68&gt;=15,"P0 · 否定或暂停","P2 · 继续观察"),IF(N68&gt;45%,"P1 · 降低竞价",IF(AND(I68&gt;=3,N68&lt;=25%),"P1 · 精准扩量","观察")))</x:f>
        <x:v>P0 · 否定或暂停</x:v>
      </x:c>
    </x:row>
    <x:row r="69">
      <x:c r="A69" t="str">
        <x:v>A017</x:v>
      </x:c>
      <x:c r="B69" t="str">
        <x:v>SP-A017-Core</x:v>
      </x:c>
      <x:c r="C69" t="str">
        <x:v>自动</x:v>
      </x:c>
      <x:c r="D69" t="str">
        <x:v>solar string lights</x:v>
      </x:c>
      <x:c r="E69" t="str">
        <x:v>solar string lights accessory</x:v>
      </x:c>
      <x:c r="F69" t="n">
        <x:v>6387</x:v>
      </x:c>
      <x:c r="G69" t="n">
        <x:v>23</x:v>
      </x:c>
      <x:c r="H69" s="8" t="n">
        <x:v>25.53</x:v>
      </x:c>
      <x:c r="I69" t="n">
        <x:v>1</x:v>
      </x:c>
      <x:c r="J69" s="6" t="n">
        <x:v>18.99</x:v>
      </x:c>
      <x:c r="K69" s="9" t="n">
        <x:f>IFERROR(G69/F69,0)</x:f>
        <x:v>0.003601064662595898</x:v>
      </x:c>
      <x:c r="L69" s="9" t="n">
        <x:f>IFERROR(I69/G69,0)</x:f>
        <x:v>0.043478260869565216</x:v>
      </x:c>
      <x:c r="M69" s="10" t="n">
        <x:f>IFERROR(H69/G69,0)</x:f>
        <x:v>1.11</x:v>
      </x:c>
      <x:c r="N69" s="7" t="n">
        <x:f>IFERROR(H69/J69,0)</x:f>
        <x:v>1.344391785150079</x:v>
      </x:c>
      <x:c r="O69" t="str">
        <x:f>IF(I69=0,IF(H69&gt;=15,"P0 · 否定或暂停","P2 · 继续观察"),IF(N69&gt;45%,"P1 · 降低竞价",IF(AND(I69&gt;=3,N69&lt;=25%),"P1 · 精准扩量","观察")))</x:f>
        <x:v>P1 · 降低竞价</x:v>
      </x:c>
    </x:row>
    <x:row r="70">
      <x:c r="A70" t="str">
        <x:v>A018</x:v>
      </x:c>
      <x:c r="B70" t="str">
        <x:v>SP-A018-Core</x:v>
      </x:c>
      <x:c r="C70" t="str">
        <x:v>精准</x:v>
      </x:c>
      <x:c r="D70" t="str">
        <x:v>neck massager</x:v>
      </x:c>
      <x:c r="E70" t="str">
        <x:v>neck massager</x:v>
      </x:c>
      <x:c r="F70" t="n">
        <x:v>11787</x:v>
      </x:c>
      <x:c r="G70" t="n">
        <x:v>71</x:v>
      </x:c>
      <x:c r="H70" s="8" t="n">
        <x:v>53.25</x:v>
      </x:c>
      <x:c r="I70" t="n">
        <x:v>9</x:v>
      </x:c>
      <x:c r="J70" s="6" t="n">
        <x:v>386.91</x:v>
      </x:c>
      <x:c r="K70" s="9" t="n">
        <x:f>IFERROR(G70/F70,0)</x:f>
        <x:v>0.006023585305845423</x:v>
      </x:c>
      <x:c r="L70" s="9" t="n">
        <x:f>IFERROR(I70/G70,0)</x:f>
        <x:v>0.1267605633802817</x:v>
      </x:c>
      <x:c r="M70" s="10" t="n">
        <x:f>IFERROR(H70/G70,0)</x:f>
        <x:v>0.75</x:v>
      </x:c>
      <x:c r="N70" s="7" t="n">
        <x:f>IFERROR(H70/J70,0)</x:f>
        <x:v>0.1376289059471195</x:v>
      </x:c>
      <x:c r="O70" t="str">
        <x:f>IF(I70=0,IF(H70&gt;=15,"P0 · 否定或暂停","P2 · 继续观察"),IF(N70&gt;45%,"P1 · 降低竞价",IF(AND(I70&gt;=3,N70&lt;=25%),"P1 · 精准扩量","观察")))</x:f>
        <x:v>P1 · 精准扩量</x:v>
      </x:c>
    </x:row>
    <x:row r="71">
      <x:c r="A71" t="str">
        <x:v>A018</x:v>
      </x:c>
      <x:c r="B71" t="str">
        <x:v>SP-A018-Core</x:v>
      </x:c>
      <x:c r="C71" t="str">
        <x:v>词组</x:v>
      </x:c>
      <x:c r="D71" t="str">
        <x:v>neck massager</x:v>
      </x:c>
      <x:c r="E71" t="str">
        <x:v>best neck massager</x:v>
      </x:c>
      <x:c r="F71" t="n">
        <x:v>10591</x:v>
      </x:c>
      <x:c r="G71" t="n">
        <x:v>55</x:v>
      </x:c>
      <x:c r="H71" s="8" t="n">
        <x:v>47.85</x:v>
      </x:c>
      <x:c r="I71" t="n">
        <x:v>4</x:v>
      </x:c>
      <x:c r="J71" s="6" t="n">
        <x:v>171.96</x:v>
      </x:c>
      <x:c r="K71" s="9" t="n">
        <x:f>IFERROR(G71/F71,0)</x:f>
        <x:v>0.005193088471343594</x:v>
      </x:c>
      <x:c r="L71" s="9" t="n">
        <x:f>IFERROR(I71/G71,0)</x:f>
        <x:v>0.07272727272727272</x:v>
      </x:c>
      <x:c r="M71" s="10" t="n">
        <x:f>IFERROR(H71/G71,0)</x:f>
        <x:v>0.87</x:v>
      </x:c>
      <x:c r="N71" s="7" t="n">
        <x:f>IFERROR(H71/J71,0)</x:f>
        <x:v>0.27826238660153524</x:v>
      </x:c>
      <x:c r="O71" t="str">
        <x:f>IF(I71=0,IF(H71&gt;=15,"P0 · 否定或暂停","P2 · 继续观察"),IF(N71&gt;45%,"P1 · 降低竞价",IF(AND(I71&gt;=3,N71&lt;=25%),"P1 · 精准扩量","观察")))</x:f>
        <x:v>观察</x:v>
      </x:c>
    </x:row>
    <x:row r="72">
      <x:c r="A72" t="str">
        <x:v>A018</x:v>
      </x:c>
      <x:c r="B72" t="str">
        <x:v>SP-A018-Core</x:v>
      </x:c>
      <x:c r="C72" t="str">
        <x:v>广泛</x:v>
      </x:c>
      <x:c r="D72" t="str">
        <x:v>neck massager</x:v>
      </x:c>
      <x:c r="E72" t="str">
        <x:v>cheap health</x:v>
      </x:c>
      <x:c r="F72" t="n">
        <x:v>8125</x:v>
      </x:c>
      <x:c r="G72" t="n">
        <x:v>36</x:v>
      </x:c>
      <x:c r="H72" s="8" t="n">
        <x:v>35.64</x:v>
      </x:c>
      <x:c r="I72" t="n">
        <x:v>0</x:v>
      </x:c>
      <x:c r="J72" s="6" t="n">
        <x:v>0</x:v>
      </x:c>
      <x:c r="K72" s="9" t="n">
        <x:f>IFERROR(G72/F72,0)</x:f>
        <x:v>0.004430769230769231</x:v>
      </x:c>
      <x:c r="L72" s="9" t="n">
        <x:f>IFERROR(I72/G72,0)</x:f>
        <x:v>0</x:v>
      </x:c>
      <x:c r="M72" s="10" t="n">
        <x:f>IFERROR(H72/G72,0)</x:f>
        <x:v>0.99</x:v>
      </x:c>
      <x:c r="N72" s="7" t="n">
        <x:f>IFERROR(H72/J72,0)</x:f>
        <x:v>0</x:v>
      </x:c>
      <x:c r="O72" t="str">
        <x:f>IF(I72=0,IF(H72&gt;=15,"P0 · 否定或暂停","P2 · 继续观察"),IF(N72&gt;45%,"P1 · 降低竞价",IF(AND(I72&gt;=3,N72&lt;=25%),"P1 · 精准扩量","观察")))</x:f>
        <x:v>P0 · 否定或暂停</x:v>
      </x:c>
    </x:row>
    <x:row r="73">
      <x:c r="A73" t="str">
        <x:v>A018</x:v>
      </x:c>
      <x:c r="B73" t="str">
        <x:v>SP-A018-Core</x:v>
      </x:c>
      <x:c r="C73" t="str">
        <x:v>自动</x:v>
      </x:c>
      <x:c r="D73" t="str">
        <x:v>neck massager</x:v>
      </x:c>
      <x:c r="E73" t="str">
        <x:v>neck massager accessory</x:v>
      </x:c>
      <x:c r="F73" t="n">
        <x:v>6622</x:v>
      </x:c>
      <x:c r="G73" t="n">
        <x:v>24</x:v>
      </x:c>
      <x:c r="H73" s="8" t="n">
        <x:v>26.64</x:v>
      </x:c>
      <x:c r="I73" t="n">
        <x:v>1</x:v>
      </x:c>
      <x:c r="J73" s="6" t="n">
        <x:v>42.99</x:v>
      </x:c>
      <x:c r="K73" s="9" t="n">
        <x:f>IFERROR(G73/F73,0)</x:f>
        <x:v>0.003624282694050136</x:v>
      </x:c>
      <x:c r="L73" s="9" t="n">
        <x:f>IFERROR(I73/G73,0)</x:f>
        <x:v>0.041666666666666664</x:v>
      </x:c>
      <x:c r="M73" s="10" t="n">
        <x:f>IFERROR(H73/G73,0)</x:f>
        <x:v>1.11</x:v>
      </x:c>
      <x:c r="N73" s="7" t="n">
        <x:f>IFERROR(H73/J73,0)</x:f>
        <x:v>0.619678995115143</x:v>
      </x:c>
      <x:c r="O73" t="str">
        <x:f>IF(I73=0,IF(H73&gt;=15,"P0 · 否定或暂停","P2 · 继续观察"),IF(N73&gt;45%,"P1 · 降低竞价",IF(AND(I73&gt;=3,N73&lt;=25%),"P1 · 精准扩量","观察")))</x:f>
        <x:v>P1 · 降低竞价</x:v>
      </x:c>
    </x:row>
    <x:row r="74">
      <x:c r="A74" t="str">
        <x:v>A019</x:v>
      </x:c>
      <x:c r="B74" t="str">
        <x:v>SP-A019-Core</x:v>
      </x:c>
      <x:c r="C74" t="str">
        <x:v>精准</x:v>
      </x:c>
      <x:c r="D74" t="str">
        <x:v>travel backpack</x:v>
      </x:c>
      <x:c r="E74" t="str">
        <x:v>travel backpack</x:v>
      </x:c>
      <x:c r="F74" t="n">
        <x:v>12021</x:v>
      </x:c>
      <x:c r="G74" t="n">
        <x:v>72</x:v>
      </x:c>
      <x:c r="H74" s="8" t="n">
        <x:v>54</x:v>
      </x:c>
      <x:c r="I74" t="n">
        <x:v>9</x:v>
      </x:c>
      <x:c r="J74" s="6" t="n">
        <x:v>449.91</x:v>
      </x:c>
      <x:c r="K74" s="9" t="n">
        <x:f>IFERROR(G74/F74,0)</x:f>
        <x:v>0.005989518342899925</x:v>
      </x:c>
      <x:c r="L74" s="9" t="n">
        <x:f>IFERROR(I74/G74,0)</x:f>
        <x:v>0.125</x:v>
      </x:c>
      <x:c r="M74" s="10" t="n">
        <x:f>IFERROR(H74/G74,0)</x:f>
        <x:v>0.75</x:v>
      </x:c>
      <x:c r="N74" s="7" t="n">
        <x:f>IFERROR(H74/J74,0)</x:f>
        <x:v>0.12002400480096019</x:v>
      </x:c>
      <x:c r="O74" t="str">
        <x:f>IF(I74=0,IF(H74&gt;=15,"P0 · 否定或暂停","P2 · 继续观察"),IF(N74&gt;45%,"P1 · 降低竞价",IF(AND(I74&gt;=3,N74&lt;=25%),"P1 · 精准扩量","观察")))</x:f>
        <x:v>P1 · 精准扩量</x:v>
      </x:c>
    </x:row>
    <x:row r="75">
      <x:c r="A75" t="str">
        <x:v>A019</x:v>
      </x:c>
      <x:c r="B75" t="str">
        <x:v>SP-A019-Core</x:v>
      </x:c>
      <x:c r="C75" t="str">
        <x:v>词组</x:v>
      </x:c>
      <x:c r="D75" t="str">
        <x:v>travel backpack</x:v>
      </x:c>
      <x:c r="E75" t="str">
        <x:v>best travel backpack</x:v>
      </x:c>
      <x:c r="F75" t="n">
        <x:v>10482</x:v>
      </x:c>
      <x:c r="G75" t="n">
        <x:v>55</x:v>
      </x:c>
      <x:c r="H75" s="8" t="n">
        <x:v>47.85</x:v>
      </x:c>
      <x:c r="I75" t="n">
        <x:v>4</x:v>
      </x:c>
      <x:c r="J75" s="6" t="n">
        <x:v>199.96</x:v>
      </x:c>
      <x:c r="K75" s="9" t="n">
        <x:f>IFERROR(G75/F75,0)</x:f>
        <x:v>0.0052470902499523</x:v>
      </x:c>
      <x:c r="L75" s="9" t="n">
        <x:f>IFERROR(I75/G75,0)</x:f>
        <x:v>0.07272727272727272</x:v>
      </x:c>
      <x:c r="M75" s="10" t="n">
        <x:f>IFERROR(H75/G75,0)</x:f>
        <x:v>0.87</x:v>
      </x:c>
      <x:c r="N75" s="7" t="n">
        <x:f>IFERROR(H75/J75,0)</x:f>
        <x:v>0.23929785957191438</x:v>
      </x:c>
      <x:c r="O75" t="str">
        <x:f>IF(I75=0,IF(H75&gt;=15,"P0 · 否定或暂停","P2 · 继续观察"),IF(N75&gt;45%,"P1 · 降低竞价",IF(AND(I75&gt;=3,N75&lt;=25%),"P1 · 精准扩量","观察")))</x:f>
        <x:v>P1 · 精准扩量</x:v>
      </x:c>
    </x:row>
    <x:row r="76">
      <x:c r="A76" t="str">
        <x:v>A019</x:v>
      </x:c>
      <x:c r="B76" t="str">
        <x:v>SP-A019-Core</x:v>
      </x:c>
      <x:c r="C76" t="str">
        <x:v>广泛</x:v>
      </x:c>
      <x:c r="D76" t="str">
        <x:v>travel backpack</x:v>
      </x:c>
      <x:c r="E76" t="str">
        <x:v>cheap luggage</x:v>
      </x:c>
      <x:c r="F76" t="n">
        <x:v>8172</x:v>
      </x:c>
      <x:c r="G76" t="n">
        <x:v>36</x:v>
      </x:c>
      <x:c r="H76" s="8" t="n">
        <x:v>35.64</x:v>
      </x:c>
      <x:c r="I76" t="n">
        <x:v>0</x:v>
      </x:c>
      <x:c r="J76" s="6" t="n">
        <x:v>0</x:v>
      </x:c>
      <x:c r="K76" s="9" t="n">
        <x:f>IFERROR(G76/F76,0)</x:f>
        <x:v>0.004405286343612335</x:v>
      </x:c>
      <x:c r="L76" s="9" t="n">
        <x:f>IFERROR(I76/G76,0)</x:f>
        <x:v>0</x:v>
      </x:c>
      <x:c r="M76" s="10" t="n">
        <x:f>IFERROR(H76/G76,0)</x:f>
        <x:v>0.99</x:v>
      </x:c>
      <x:c r="N76" s="7" t="n">
        <x:f>IFERROR(H76/J76,0)</x:f>
        <x:v>0</x:v>
      </x:c>
      <x:c r="O76" t="str">
        <x:f>IF(I76=0,IF(H76&gt;=15,"P0 · 否定或暂停","P2 · 继续观察"),IF(N76&gt;45%,"P1 · 降低竞价",IF(AND(I76&gt;=3,N76&lt;=25%),"P1 · 精准扩量","观察")))</x:f>
        <x:v>P0 · 否定或暂停</x:v>
      </x:c>
    </x:row>
    <x:row r="77">
      <x:c r="A77" t="str">
        <x:v>A019</x:v>
      </x:c>
      <x:c r="B77" t="str">
        <x:v>SP-A019-Core</x:v>
      </x:c>
      <x:c r="C77" t="str">
        <x:v>自动</x:v>
      </x:c>
      <x:c r="D77" t="str">
        <x:v>travel backpack</x:v>
      </x:c>
      <x:c r="E77" t="str">
        <x:v>travel backpack accessory</x:v>
      </x:c>
      <x:c r="F77" t="n">
        <x:v>7035</x:v>
      </x:c>
      <x:c r="G77" t="n">
        <x:v>25</x:v>
      </x:c>
      <x:c r="H77" s="8" t="n">
        <x:v>27.75</x:v>
      </x:c>
      <x:c r="I77" t="n">
        <x:v>1</x:v>
      </x:c>
      <x:c r="J77" s="6" t="n">
        <x:v>49.99</x:v>
      </x:c>
      <x:c r="K77" s="9" t="n">
        <x:f>IFERROR(G77/F77,0)</x:f>
        <x:v>0.0035536602700781805</x:v>
      </x:c>
      <x:c r="L77" s="9" t="n">
        <x:f>IFERROR(I77/G77,0)</x:f>
        <x:v>0.04</x:v>
      </x:c>
      <x:c r="M77" s="10" t="n">
        <x:f>IFERROR(H77/G77,0)</x:f>
        <x:v>1.11</x:v>
      </x:c>
      <x:c r="N77" s="7" t="n">
        <x:f>IFERROR(H77/J77,0)</x:f>
        <x:v>0.5551110222044409</x:v>
      </x:c>
      <x:c r="O77" t="str">
        <x:f>IF(I77=0,IF(H77&gt;=15,"P0 · 否定或暂停","P2 · 继续观察"),IF(N77&gt;45%,"P1 · 降低竞价",IF(AND(I77&gt;=3,N77&lt;=25%),"P1 · 精准扩量","观察")))</x:f>
        <x:v>P1 · 降低竞价</x:v>
      </x:c>
    </x:row>
    <x:row r="78">
      <x:c r="A78" t="str">
        <x:v>A020</x:v>
      </x:c>
      <x:c r="B78" t="str">
        <x:v>SP-A020-Core</x:v>
      </x:c>
      <x:c r="C78" t="str">
        <x:v>精准</x:v>
      </x:c>
      <x:c r="D78" t="str">
        <x:v>electric kettle</x:v>
      </x:c>
      <x:c r="E78" t="str">
        <x:v>electric kettle</x:v>
      </x:c>
      <x:c r="F78" t="n">
        <x:v>11901</x:v>
      </x:c>
      <x:c r="G78" t="n">
        <x:v>71</x:v>
      </x:c>
      <x:c r="H78" s="8" t="n">
        <x:v>53.25</x:v>
      </x:c>
      <x:c r="I78" t="n">
        <x:v>9</x:v>
      </x:c>
      <x:c r="J78" s="6" t="n">
        <x:v>305.91</x:v>
      </x:c>
      <x:c r="K78" s="9" t="n">
        <x:f>IFERROR(G78/F78,0)</x:f>
        <x:v>0.005965885219729435</x:v>
      </x:c>
      <x:c r="L78" s="9" t="n">
        <x:f>IFERROR(I78/G78,0)</x:f>
        <x:v>0.1267605633802817</x:v>
      </x:c>
      <x:c r="M78" s="10" t="n">
        <x:f>IFERROR(H78/G78,0)</x:f>
        <x:v>0.75</x:v>
      </x:c>
      <x:c r="N78" s="7" t="n">
        <x:f>IFERROR(H78/J78,0)</x:f>
        <x:v>0.1740708051387663</x:v>
      </x:c>
      <x:c r="O78" t="str">
        <x:f>IF(I78=0,IF(H78&gt;=15,"P0 · 否定或暂停","P2 · 继续观察"),IF(N78&gt;45%,"P1 · 降低竞价",IF(AND(I78&gt;=3,N78&lt;=25%),"P1 · 精准扩量","观察")))</x:f>
        <x:v>P1 · 精准扩量</x:v>
      </x:c>
    </x:row>
    <x:row r="79">
      <x:c r="A79" t="str">
        <x:v>A020</x:v>
      </x:c>
      <x:c r="B79" t="str">
        <x:v>SP-A020-Core</x:v>
      </x:c>
      <x:c r="C79" t="str">
        <x:v>词组</x:v>
      </x:c>
      <x:c r="D79" t="str">
        <x:v>electric kettle</x:v>
      </x:c>
      <x:c r="E79" t="str">
        <x:v>best electric kettle</x:v>
      </x:c>
      <x:c r="F79" t="n">
        <x:v>9882</x:v>
      </x:c>
      <x:c r="G79" t="n">
        <x:v>51</x:v>
      </x:c>
      <x:c r="H79" s="8" t="n">
        <x:v>44.37</x:v>
      </x:c>
      <x:c r="I79" t="n">
        <x:v>4</x:v>
      </x:c>
      <x:c r="J79" s="6" t="n">
        <x:v>135.96</x:v>
      </x:c>
      <x:c r="K79" s="9" t="n">
        <x:f>IFERROR(G79/F79,0)</x:f>
        <x:v>0.0051608986035215545</x:v>
      </x:c>
      <x:c r="L79" s="9" t="n">
        <x:f>IFERROR(I79/G79,0)</x:f>
        <x:v>0.0784313725490196</x:v>
      </x:c>
      <x:c r="M79" s="10" t="n">
        <x:f>IFERROR(H79/G79,0)</x:f>
        <x:v>0.87</x:v>
      </x:c>
      <x:c r="N79" s="7" t="n">
        <x:f>IFERROR(H79/J79,0)</x:f>
        <x:v>0.3263459841129744</x:v>
      </x:c>
      <x:c r="O79" t="str">
        <x:f>IF(I79=0,IF(H79&gt;=15,"P0 · 否定或暂停","P2 · 继续观察"),IF(N79&gt;45%,"P1 · 降低竞价",IF(AND(I79&gt;=3,N79&lt;=25%),"P1 · 精准扩量","观察")))</x:f>
        <x:v>观察</x:v>
      </x:c>
    </x:row>
    <x:row r="80">
      <x:c r="A80" t="str">
        <x:v>A020</x:v>
      </x:c>
      <x:c r="B80" t="str">
        <x:v>SP-A020-Core</x:v>
      </x:c>
      <x:c r="C80" t="str">
        <x:v>广泛</x:v>
      </x:c>
      <x:c r="D80" t="str">
        <x:v>electric kettle</x:v>
      </x:c>
      <x:c r="E80" t="str">
        <x:v>cheap kitchen</x:v>
      </x:c>
      <x:c r="F80" t="n">
        <x:v>8868</x:v>
      </x:c>
      <x:c r="G80" t="n">
        <x:v>39</x:v>
      </x:c>
      <x:c r="H80" s="8" t="n">
        <x:v>38.61</x:v>
      </x:c>
      <x:c r="I80" t="n">
        <x:v>0</x:v>
      </x:c>
      <x:c r="J80" s="6" t="n">
        <x:v>0</x:v>
      </x:c>
      <x:c r="K80" s="9" t="n">
        <x:f>IFERROR(G80/F80,0)</x:f>
        <x:v>0.004397834912043302</x:v>
      </x:c>
      <x:c r="L80" s="9" t="n">
        <x:f>IFERROR(I80/G80,0)</x:f>
        <x:v>0</x:v>
      </x:c>
      <x:c r="M80" s="10" t="n">
        <x:f>IFERROR(H80/G80,0)</x:f>
        <x:v>0.99</x:v>
      </x:c>
      <x:c r="N80" s="7" t="n">
        <x:f>IFERROR(H80/J80,0)</x:f>
        <x:v>0</x:v>
      </x:c>
      <x:c r="O80" t="str">
        <x:f>IF(I80=0,IF(H80&gt;=15,"P0 · 否定或暂停","P2 · 继续观察"),IF(N80&gt;45%,"P1 · 降低竞价",IF(AND(I80&gt;=3,N80&lt;=25%),"P1 · 精准扩量","观察")))</x:f>
        <x:v>P0 · 否定或暂停</x:v>
      </x:c>
    </x:row>
    <x:row r="81">
      <x:c r="A81" t="str">
        <x:v>A020</x:v>
      </x:c>
      <x:c r="B81" t="str">
        <x:v>SP-A020-Core</x:v>
      </x:c>
      <x:c r="C81" t="str">
        <x:v>自动</x:v>
      </x:c>
      <x:c r="D81" t="str">
        <x:v>electric kettle</x:v>
      </x:c>
      <x:c r="E81" t="str">
        <x:v>electric kettle accessory</x:v>
      </x:c>
      <x:c r="F81" t="n">
        <x:v>6764</x:v>
      </x:c>
      <x:c r="G81" t="n">
        <x:v>24</x:v>
      </x:c>
      <x:c r="H81" s="8" t="n">
        <x:v>26.64</x:v>
      </x:c>
      <x:c r="I81" t="n">
        <x:v>1</x:v>
      </x:c>
      <x:c r="J81" s="6" t="n">
        <x:v>33.99</x:v>
      </x:c>
      <x:c r="K81" s="9" t="n">
        <x:f>IFERROR(G81/F81,0)</x:f>
        <x:v>0.0035481963335304554</x:v>
      </x:c>
      <x:c r="L81" s="9" t="n">
        <x:f>IFERROR(I81/G81,0)</x:f>
        <x:v>0.041666666666666664</x:v>
      </x:c>
      <x:c r="M81" s="10" t="n">
        <x:f>IFERROR(H81/G81,0)</x:f>
        <x:v>1.11</x:v>
      </x:c>
      <x:c r="N81" s="7" t="n">
        <x:f>IFERROR(H81/J81,0)</x:f>
        <x:v>0.7837599293909974</x:v>
      </x:c>
      <x:c r="O81" t="str">
        <x:f>IF(I81=0,IF(H81&gt;=15,"P0 · 否定或暂停","P2 · 继续观察"),IF(N81&gt;45%,"P1 · 降低竞价",IF(AND(I81&gt;=3,N81&lt;=25%),"P1 · 精准扩量","观察")))</x:f>
        <x:v>P1 · 降低竞价</x:v>
      </x:c>
    </x:row>
  </x:sheetData>
  <x:conditionalFormatting sqref="O2:O81">
    <x:cfRule type="beginsWith" dxfId="2" priority="1" operator="beginsWith" text="P0"/>
    <x:cfRule type="beginsWith" dxfId="3" priority="2" operator="beginsWith" text="P1"/>
  </x:conditionalFormatting>
  <x:pageMargins left="0.7" right="0.7" top="0.75" bottom="0.75" header="0.3" footer="0.3"/>
  <x:tableParts count="1">
    <x:tablePart xmlns:r="http://schemas.openxmlformats.org/officeDocument/2006/relationships" r:id="R6993527c5bd249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6.130000114440918" hidden="0" customWidth="1"/>
    <x:col min="3" max="3" width="28" hidden="0" customWidth="1"/>
    <x:col min="4" max="4" width="28" hidden="0" customWidth="1"/>
    <x:col min="5" max="5" width="8.5" hidden="0" customWidth="1"/>
    <x:col min="6" max="6" width="10.3800001144409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8" hidden="0" customWidth="1"/>
  </x:cols>
  <x:sheetData>
    <x:row r="1">
      <x:c r="A1" s="5" t="str">
        <x:v>优先级</x:v>
      </x:c>
      <x:c r="B1" s="5" t="str">
        <x:v>SKU</x:v>
      </x:c>
      <x:c r="C1" s="5" t="str">
        <x:v>问题</x:v>
      </x:c>
      <x:c r="D1" s="5" t="str">
        <x:v>建议动作</x:v>
      </x:c>
      <x:c r="E1" s="5" t="str">
        <x:v>负责人</x:v>
      </x:c>
      <x:c r="F1" s="5" t="str">
        <x:v>截止时间</x:v>
      </x:c>
      <x:c r="G1" s="5" t="str">
        <x:v>执行前指标</x:v>
      </x:c>
      <x:c r="H1" s="5" t="str">
        <x:v>执行后指标</x:v>
      </x:c>
      <x:c r="I1" s="5" t="str">
        <x:v>结果判断</x:v>
      </x:c>
      <x:c r="J1" s="5" t="str">
        <x:v>复盘结论</x:v>
      </x:c>
      <x:c r="K1" s="5" t="str">
        <x:v>下一步动作</x:v>
      </x:c>
      <x:c r="L1" s="5" t="str">
        <x:v>状态</x:v>
      </x:c>
    </x:row>
    <x:row r="2">
      <x:c r="A2" t="str">
        <x:v>P0</x:v>
      </x:c>
      <x:c r="B2" t="str">
        <x:v>A008</x:v>
      </x:c>
      <x:c r="C2" t="str">
        <x:v>库存风险</x:v>
      </x:c>
      <x:c r="D2" t="str">
        <x:v>确认采购周期与建议补货量</x:v>
      </x:c>
      <x:c r="E2" t="str">
        <x:v>待分配</x:v>
      </x:c>
      <x:c r="F2" t="str">
        <x:v>7天内</x:v>
      </x:c>
      <x:c r="G2" t="str">
        <x:v>可售 12 天</x:v>
      </x:c>
      <x:c r="H2" t="str">
        <x:v>待填写</x:v>
      </x:c>
      <x:c r="I2" t="str">
        <x:v>待验证</x:v>
      </x:c>
      <x:c r="J2" t="str">
        <x:v>待填写</x:v>
      </x:c>
      <x:c r="K2" t="str">
        <x:v>待填写</x:v>
      </x:c>
      <x:c r="L2" t="str">
        <x:v>待处理</x:v>
      </x:c>
    </x:row>
    <x:row r="3">
      <x:c r="A3" t="str">
        <x:v>P1</x:v>
      </x:c>
      <x:c r="B3" t="str">
        <x:v>A011</x:v>
      </x:c>
      <x:c r="C3" t="str">
        <x:v>库存风险</x:v>
      </x:c>
      <x:c r="D3" t="str">
        <x:v>确认采购周期与建议补货量</x:v>
      </x:c>
      <x:c r="E3" t="str">
        <x:v>待分配</x:v>
      </x:c>
      <x:c r="F3" t="str">
        <x:v>7天内</x:v>
      </x:c>
      <x:c r="G3" t="str">
        <x:v>可售 25 天</x:v>
      </x:c>
      <x:c r="H3" t="str">
        <x:v>待填写</x:v>
      </x:c>
      <x:c r="I3" t="str">
        <x:v>待验证</x:v>
      </x:c>
      <x:c r="J3" t="str">
        <x:v>待填写</x:v>
      </x:c>
      <x:c r="K3" t="str">
        <x:v>待填写</x:v>
      </x:c>
      <x:c r="L3" t="str">
        <x:v>待处理</x:v>
      </x:c>
    </x:row>
    <x:row r="4">
      <x:c r="A4" t="str">
        <x:v>P1</x:v>
      </x:c>
      <x:c r="B4" t="str">
        <x:v>A012</x:v>
      </x:c>
      <x:c r="C4" t="str">
        <x:v>库存风险</x:v>
      </x:c>
      <x:c r="D4" t="str">
        <x:v>确认采购周期与建议补货量</x:v>
      </x:c>
      <x:c r="E4" t="str">
        <x:v>待分配</x:v>
      </x:c>
      <x:c r="F4" t="str">
        <x:v>7天内</x:v>
      </x:c>
      <x:c r="G4" t="str">
        <x:v>可售 25 天</x:v>
      </x:c>
      <x:c r="H4" t="str">
        <x:v>待填写</x:v>
      </x:c>
      <x:c r="I4" t="str">
        <x:v>待验证</x:v>
      </x:c>
      <x:c r="J4" t="str">
        <x:v>待填写</x:v>
      </x:c>
      <x:c r="K4" t="str">
        <x:v>待填写</x:v>
      </x:c>
      <x:c r="L4" t="str">
        <x:v>待处理</x:v>
      </x:c>
    </x:row>
    <x:row r="5">
      <x:c r="A5" t="str">
        <x:v>P1</x:v>
      </x:c>
      <x:c r="B5" t="str">
        <x:v>A013</x:v>
      </x:c>
      <x:c r="C5" t="str">
        <x:v>库存风险</x:v>
      </x:c>
      <x:c r="D5" t="str">
        <x:v>确认采购周期与建议补货量</x:v>
      </x:c>
      <x:c r="E5" t="str">
        <x:v>待分配</x:v>
      </x:c>
      <x:c r="F5" t="str">
        <x:v>7天内</x:v>
      </x:c>
      <x:c r="G5" t="str">
        <x:v>可售 25 天</x:v>
      </x:c>
      <x:c r="H5" t="str">
        <x:v>待填写</x:v>
      </x:c>
      <x:c r="I5" t="str">
        <x:v>待验证</x:v>
      </x:c>
      <x:c r="J5" t="str">
        <x:v>待填写</x:v>
      </x:c>
      <x:c r="K5" t="str">
        <x:v>待填写</x:v>
      </x:c>
      <x:c r="L5" t="str">
        <x:v>待处理</x:v>
      </x:c>
    </x:row>
    <x:row r="6">
      <x:c r="A6" t="str">
        <x:v>P0</x:v>
      </x:c>
      <x:c r="B6" t="str">
        <x:v>A017</x:v>
      </x:c>
      <x:c r="C6" t="str">
        <x:v>库存风险</x:v>
      </x:c>
      <x:c r="D6" t="str">
        <x:v>确认采购周期与建议补货量</x:v>
      </x:c>
      <x:c r="E6" t="str">
        <x:v>待分配</x:v>
      </x:c>
      <x:c r="F6" t="str">
        <x:v>7天内</x:v>
      </x:c>
      <x:c r="G6" t="str">
        <x:v>可售 12 天</x:v>
      </x:c>
      <x:c r="H6" t="str">
        <x:v>待填写</x:v>
      </x:c>
      <x:c r="I6" t="str">
        <x:v>待验证</x:v>
      </x:c>
      <x:c r="J6" t="str">
        <x:v>待填写</x:v>
      </x:c>
      <x:c r="K6" t="str">
        <x:v>待填写</x:v>
      </x:c>
      <x:c r="L6" t="str">
        <x:v>待处理</x:v>
      </x:c>
    </x:row>
    <x:row r="7">
      <x:c r="A7" t="str">
        <x:v>P0</x:v>
      </x:c>
      <x:c r="B7" t="str">
        <x:v>A015</x:v>
      </x:c>
      <x:c r="C7" t="str">
        <x:v>搜索词浪费：cheap office</x:v>
      </x:c>
      <x:c r="D7" t="str">
        <x:v>核查相关性后否定或暂停</x:v>
      </x:c>
      <x:c r="E7" t="str">
        <x:v>待分配</x:v>
      </x:c>
      <x:c r="F7" t="str">
        <x:v>3天内</x:v>
      </x:c>
      <x:c r="G7" t="str">
        <x:v>花费 $39 / 0订单</x:v>
      </x:c>
      <x:c r="H7" t="str">
        <x:v>待填写</x:v>
      </x:c>
      <x:c r="I7" t="str">
        <x:v>待验证</x:v>
      </x:c>
      <x:c r="J7" t="str">
        <x:v>待填写</x:v>
      </x:c>
      <x:c r="K7" t="str">
        <x:v>待填写</x:v>
      </x:c>
      <x:c r="L7" t="str">
        <x:v>待处理</x:v>
      </x:c>
    </x:row>
    <x:row r="8">
      <x:c r="A8" t="str">
        <x:v>P0</x:v>
      </x:c>
      <x:c r="B8" t="str">
        <x:v>A017</x:v>
      </x:c>
      <x:c r="C8" t="str">
        <x:v>搜索词浪费：cheap outdoor</x:v>
      </x:c>
      <x:c r="D8" t="str">
        <x:v>核查相关性后否定或暂停</x:v>
      </x:c>
      <x:c r="E8" t="str">
        <x:v>待分配</x:v>
      </x:c>
      <x:c r="F8" t="str">
        <x:v>3天内</x:v>
      </x:c>
      <x:c r="G8" t="str">
        <x:v>花费 $39 / 0订单</x:v>
      </x:c>
      <x:c r="H8" t="str">
        <x:v>待填写</x:v>
      </x:c>
      <x:c r="I8" t="str">
        <x:v>待验证</x:v>
      </x:c>
      <x:c r="J8" t="str">
        <x:v>待填写</x:v>
      </x:c>
      <x:c r="K8" t="str">
        <x:v>待填写</x:v>
      </x:c>
      <x:c r="L8" t="str">
        <x:v>待处理</x:v>
      </x:c>
    </x:row>
    <x:row r="9">
      <x:c r="A9" t="str">
        <x:v>P0</x:v>
      </x:c>
      <x:c r="B9" t="str">
        <x:v>A020</x:v>
      </x:c>
      <x:c r="C9" t="str">
        <x:v>搜索词浪费：cheap kitchen</x:v>
      </x:c>
      <x:c r="D9" t="str">
        <x:v>核查相关性后否定或暂停</x:v>
      </x:c>
      <x:c r="E9" t="str">
        <x:v>待分配</x:v>
      </x:c>
      <x:c r="F9" t="str">
        <x:v>3天内</x:v>
      </x:c>
      <x:c r="G9" t="str">
        <x:v>花费 $39 / 0订单</x:v>
      </x:c>
      <x:c r="H9" t="str">
        <x:v>待填写</x:v>
      </x:c>
      <x:c r="I9" t="str">
        <x:v>待验证</x:v>
      </x:c>
      <x:c r="J9" t="str">
        <x:v>待填写</x:v>
      </x:c>
      <x:c r="K9" t="str">
        <x:v>待填写</x:v>
      </x:c>
      <x:c r="L9" t="str">
        <x:v>待处理</x:v>
      </x:c>
    </x:row>
    <x:row r="10">
      <x:c r="A10" t="str">
        <x:v>P0</x:v>
      </x:c>
      <x:c r="B10" t="str">
        <x:v>A011</x:v>
      </x:c>
      <x:c r="C10" t="str">
        <x:v>搜索词浪费：cheap electronics</x:v>
      </x:c>
      <x:c r="D10" t="str">
        <x:v>核查相关性后否定或暂停</x:v>
      </x:c>
      <x:c r="E10" t="str">
        <x:v>待分配</x:v>
      </x:c>
      <x:c r="F10" t="str">
        <x:v>3天内</x:v>
      </x:c>
      <x:c r="G10" t="str">
        <x:v>花费 $38 / 0订单</x:v>
      </x:c>
      <x:c r="H10" t="str">
        <x:v>待填写</x:v>
      </x:c>
      <x:c r="I10" t="str">
        <x:v>待验证</x:v>
      </x:c>
      <x:c r="J10" t="str">
        <x:v>待填写</x:v>
      </x:c>
      <x:c r="K10" t="str">
        <x:v>待填写</x:v>
      </x:c>
      <x:c r="L10" t="str">
        <x:v>待处理</x:v>
      </x:c>
    </x:row>
    <x:row r="11">
      <x:c r="A11" t="str">
        <x:v>P0</x:v>
      </x:c>
      <x:c r="B11" t="str">
        <x:v>A014</x:v>
      </x:c>
      <x:c r="C11" t="str">
        <x:v>搜索词浪费：cheap kitchen</x:v>
      </x:c>
      <x:c r="D11" t="str">
        <x:v>核查相关性后否定或暂停</x:v>
      </x:c>
      <x:c r="E11" t="str">
        <x:v>待分配</x:v>
      </x:c>
      <x:c r="F11" t="str">
        <x:v>3天内</x:v>
      </x:c>
      <x:c r="G11" t="str">
        <x:v>花费 $38 / 0订单</x:v>
      </x:c>
      <x:c r="H11" t="str">
        <x:v>待填写</x:v>
      </x:c>
      <x:c r="I11" t="str">
        <x:v>待验证</x:v>
      </x:c>
      <x:c r="J11" t="str">
        <x:v>待填写</x:v>
      </x:c>
      <x:c r="K11" t="str">
        <x:v>待填写</x:v>
      </x:c>
      <x:c r="L11" t="str">
        <x:v>待处理</x:v>
      </x:c>
    </x:row>
    <x:row r="12">
      <x:c r="A12" t="str">
        <x:v>P0</x:v>
      </x:c>
      <x:c r="B12" t="str">
        <x:v>A016</x:v>
      </x:c>
      <x:c r="C12" t="str">
        <x:v>搜索词浪费：cheap pet supplies</x:v>
      </x:c>
      <x:c r="D12" t="str">
        <x:v>核查相关性后否定或暂停</x:v>
      </x:c>
      <x:c r="E12" t="str">
        <x:v>待分配</x:v>
      </x:c>
      <x:c r="F12" t="str">
        <x:v>3天内</x:v>
      </x:c>
      <x:c r="G12" t="str">
        <x:v>花费 $38 / 0订单</x:v>
      </x:c>
      <x:c r="H12" t="str">
        <x:v>待填写</x:v>
      </x:c>
      <x:c r="I12" t="str">
        <x:v>待验证</x:v>
      </x:c>
      <x:c r="J12" t="str">
        <x:v>待填写</x:v>
      </x:c>
      <x:c r="K12" t="str">
        <x:v>待填写</x:v>
      </x:c>
      <x:c r="L12" t="str">
        <x:v>待处理</x:v>
      </x:c>
    </x:row>
    <x:row r="13">
      <x:c r="A13" t="str">
        <x:v>P0</x:v>
      </x:c>
      <x:c r="B13" t="str">
        <x:v>A003</x:v>
      </x:c>
      <x:c r="C13" t="str">
        <x:v>搜索词浪费：cheap home office</x:v>
      </x:c>
      <x:c r="D13" t="str">
        <x:v>核查相关性后否定或暂停</x:v>
      </x:c>
      <x:c r="E13" t="str">
        <x:v>待分配</x:v>
      </x:c>
      <x:c r="F13" t="str">
        <x:v>3天内</x:v>
      </x:c>
      <x:c r="G13" t="str">
        <x:v>花费 $37 / 0订单</x:v>
      </x:c>
      <x:c r="H13" t="str">
        <x:v>待填写</x:v>
      </x:c>
      <x:c r="I13" t="str">
        <x:v>待验证</x:v>
      </x:c>
      <x:c r="J13" t="str">
        <x:v>待填写</x:v>
      </x:c>
      <x:c r="K13" t="str">
        <x:v>待填写</x:v>
      </x:c>
      <x:c r="L13" t="str">
        <x:v>待处理</x:v>
      </x:c>
    </x:row>
  </x:sheetData>
  <x:conditionalFormatting sqref="A2:A13">
    <x:cfRule type="containsText" dxfId="4" priority="1" operator="containsText" text="P0"/>
  </x:conditionalFormatting>
  <x:dataValidations count="3">
    <x:dataValidation type="list" sqref="A2:A62">
      <x:formula1>"P0,P1,P2"</x:formula1>
    </x:dataValidation>
    <x:dataValidation type="list" sqref="I2:I62">
      <x:formula1>"待验证,有效,无效,继续观察"</x:formula1>
    </x:dataValidation>
    <x:dataValidation type="list" sqref="L2:L62">
      <x:formula1>"待处理,进行中,待验证,已关闭"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29d5e576040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34" customHeight="1">
      <x:c r="A1" s="12" t="str">
        <x:v>数据口径与指标定义</x:v>
      </x:c>
      <x:c r="B1" s="12" t="str">
        <x:v>数据口径与指标定义</x:v>
      </x:c>
      <x:c r="C1" s="12" t="str">
        <x:v>数据口径与指标定义</x:v>
      </x:c>
      <x:c r="D1" s="12" t="str">
        <x:v>数据口径与指标定义</x:v>
      </x:c>
    </x:row>
    <x:row r="3">
      <x:c r="A3" s="5" t="str">
        <x:v>主题</x:v>
      </x:c>
      <x:c r="B3" s="5" t="str">
        <x:v>定义</x:v>
      </x:c>
      <x:c r="C3" s="5" t="str">
        <x:v>来源</x:v>
      </x:c>
      <x:c r="D3" s="5" t="str">
        <x:v>注意事项</x:v>
      </x:c>
    </x:row>
    <x:row r="4">
      <x:c r="A4" s="36" t="str">
        <x:v>销售与利润</x:v>
      </x:c>
      <x:c r="B4" s="36" t="str">
        <x:v>经营利润=销售额-产品成本-广告-平台物流费-退款</x:v>
      </x:c>
      <x:c r="C4" s="36" t="str">
        <x:v>data/利润表.csv</x:v>
      </x:c>
      <x:c r="D4" s="36" t="str">
        <x:v>利润表采用导入期汇总</x:v>
      </x:c>
    </x:row>
    <x:row r="5">
      <x:c r="A5" s="36" t="str">
        <x:v>ACOS</x:v>
      </x:c>
      <x:c r="B5" s="36" t="str">
        <x:v>广告花费/广告销售额</x:v>
      </x:c>
      <x:c r="C5" s="36" t="str">
        <x:v>data/搜索词表.csv</x:v>
      </x:c>
      <x:c r="D5" s="36" t="str">
        <x:v>需结合产品阶段与利润判断</x:v>
      </x:c>
    </x:row>
    <x:row r="6">
      <x:c r="A6" s="36" t="str">
        <x:v>TACOS</x:v>
      </x:c>
      <x:c r="B6" s="36" t="str">
        <x:v>广告花费/全部销售额</x:v>
      </x:c>
      <x:c r="C6" s="36" t="str">
        <x:v>data/广告表.csv + 销售表.csv</x:v>
      </x:c>
      <x:c r="D6" s="36" t="str">
        <x:v>反映广告对整体经营的影响</x:v>
      </x:c>
    </x:row>
    <x:row r="7">
      <x:c r="A7" s="36" t="str">
        <x:v>CTR</x:v>
      </x:c>
      <x:c r="B7" s="36" t="str">
        <x:v>点击/曝光</x:v>
      </x:c>
      <x:c r="C7" s="36" t="str">
        <x:v>data/搜索词表.csv</x:v>
      </x:c>
      <x:c r="D7" s="36" t="str">
        <x:v>低 CTR 需核查相关性和主图</x:v>
      </x:c>
    </x:row>
    <x:row r="8">
      <x:c r="A8" s="36" t="str">
        <x:v>CVR</x:v>
      </x:c>
      <x:c r="B8" s="36" t="str">
        <x:v>广告订单/点击</x:v>
      </x:c>
      <x:c r="C8" s="36" t="str">
        <x:v>data/搜索词表.csv</x:v>
      </x:c>
      <x:c r="D8" s="36" t="str">
        <x:v>低 CVR 需核查搜索意图、价格和 Listing</x:v>
      </x:c>
    </x:row>
    <x:row r="9">
      <x:c r="A9" s="36" t="str">
        <x:v>行动复盘</x:v>
      </x:c>
      <x:c r="B9" s="36" t="str">
        <x:v>执行前指标→动作→执行后指标→结果判断</x:v>
      </x:c>
      <x:c r="C9" s="36" t="str">
        <x:v>行动复盘工作表</x:v>
      </x:c>
      <x:c r="D9" s="36" t="str">
        <x:v>关闭动作前必须填写结果</x:v>
      </x:c>
    </x:row>
    <x:row r="10">
      <x:c r="A10" s="36" t="str">
        <x:v>数据性质</x:v>
      </x:c>
      <x:c r="B10" s="36" t="str">
        <x:v>20 SKU 的模拟经营数据</x:v>
      </x:c>
      <x:c r="C10" s="36" t="str">
        <x:v>generate_data.py</x:v>
      </x:c>
      <x:c r="D10" s="36" t="str">
        <x:v>不得包装成真实店铺业绩</x:v>
      </x:c>
    </x:row>
  </x:sheetData>
  <x:mergeCells>
    <x:mergeCell ref="A1:D1"/>
  </x:mergeCells>
  <x:pageMargins left="0.7" right="0.7" top="0.75" bottom="0.75" header="0.3" footer="0.3"/>
</x:worksheet>
</file>